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varun\Downloads\"/>
    </mc:Choice>
  </mc:AlternateContent>
  <xr:revisionPtr revIDLastSave="0" documentId="8_{1635644A-DE33-4D73-8ED5-828CC3ADA4E1}" xr6:coauthVersionLast="47" xr6:coauthVersionMax="47" xr10:uidLastSave="{00000000-0000-0000-0000-000000000000}"/>
  <bookViews>
    <workbookView xWindow="-110" yWindow="-110" windowWidth="19420" windowHeight="11020" activeTab="1" xr2:uid="{00000000-000D-0000-FFFF-FFFF00000000}"/>
  </bookViews>
  <sheets>
    <sheet name="Sheet1" sheetId="1" r:id="rId1"/>
    <sheet name="Sheet2" sheetId="6" r:id="rId2"/>
    <sheet name="MAE" sheetId="2" r:id="rId3"/>
    <sheet name="MSE" sheetId="3" r:id="rId4"/>
    <sheet name="RMSE" sheetId="4" r:id="rId5"/>
    <sheet name="Rsquared" sheetId="5"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oHT2nprHSxzUmzw24vXQd6+Ta4paDRrVyZAF5LZxD5I="/>
    </ext>
  </extLst>
</workbook>
</file>

<file path=xl/calcChain.xml><?xml version="1.0" encoding="utf-8"?>
<calcChain xmlns="http://schemas.openxmlformats.org/spreadsheetml/2006/main">
  <c r="F490" i="2" l="1"/>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489" i="2"/>
  <c r="D201" i="2"/>
  <c r="F489" i="2"/>
  <c r="E423" i="2"/>
  <c r="E424" i="2"/>
  <c r="E425" i="2"/>
  <c r="E426" i="2"/>
  <c r="E427" i="2"/>
  <c r="E428" i="2"/>
  <c r="F428" i="2" s="1"/>
  <c r="E429" i="2"/>
  <c r="F429" i="2" s="1"/>
  <c r="E430" i="2"/>
  <c r="F430" i="2" s="1"/>
  <c r="E431" i="2"/>
  <c r="F431" i="2" s="1"/>
  <c r="E432" i="2"/>
  <c r="F432" i="2" s="1"/>
  <c r="E433" i="2"/>
  <c r="F433" i="2" s="1"/>
  <c r="E434" i="2"/>
  <c r="E435" i="2"/>
  <c r="E436" i="2"/>
  <c r="E437" i="2"/>
  <c r="E438" i="2"/>
  <c r="E439" i="2"/>
  <c r="E440" i="2"/>
  <c r="E441" i="2"/>
  <c r="F441" i="2" s="1"/>
  <c r="E442" i="2"/>
  <c r="F442" i="2" s="1"/>
  <c r="E443" i="2"/>
  <c r="F443" i="2" s="1"/>
  <c r="E444" i="2"/>
  <c r="F444" i="2" s="1"/>
  <c r="E445" i="2"/>
  <c r="F445" i="2" s="1"/>
  <c r="E446" i="2"/>
  <c r="E447" i="2"/>
  <c r="E448" i="2"/>
  <c r="E449" i="2"/>
  <c r="E450" i="2"/>
  <c r="E451" i="2"/>
  <c r="E452" i="2"/>
  <c r="E453" i="2"/>
  <c r="F453" i="2" s="1"/>
  <c r="E454" i="2"/>
  <c r="F454" i="2" s="1"/>
  <c r="E455" i="2"/>
  <c r="F455" i="2" s="1"/>
  <c r="E456" i="2"/>
  <c r="F456" i="2" s="1"/>
  <c r="E457" i="2"/>
  <c r="F457" i="2" s="1"/>
  <c r="E458" i="2"/>
  <c r="F458" i="2" s="1"/>
  <c r="E459" i="2"/>
  <c r="E460" i="2"/>
  <c r="E461" i="2"/>
  <c r="E462" i="2"/>
  <c r="E463" i="2"/>
  <c r="E464" i="2"/>
  <c r="E465" i="2"/>
  <c r="F465" i="2" s="1"/>
  <c r="E466" i="2"/>
  <c r="F466" i="2" s="1"/>
  <c r="E467" i="2"/>
  <c r="F467" i="2" s="1"/>
  <c r="E468" i="2"/>
  <c r="F468" i="2" s="1"/>
  <c r="E469" i="2"/>
  <c r="F469" i="2" s="1"/>
  <c r="E470" i="2"/>
  <c r="E471" i="2"/>
  <c r="E472" i="2"/>
  <c r="E473" i="2"/>
  <c r="E474" i="2"/>
  <c r="E475" i="2"/>
  <c r="E476" i="2"/>
  <c r="E477" i="2"/>
  <c r="F477" i="2" s="1"/>
  <c r="E478" i="2"/>
  <c r="F478" i="2" s="1"/>
  <c r="E479" i="2"/>
  <c r="F479" i="2" s="1"/>
  <c r="E480" i="2"/>
  <c r="F480" i="2" s="1"/>
  <c r="E481" i="2"/>
  <c r="F481" i="2" s="1"/>
  <c r="E422" i="2"/>
  <c r="D151" i="2"/>
  <c r="E347" i="2"/>
  <c r="E348" i="2"/>
  <c r="E349" i="2"/>
  <c r="E350" i="2"/>
  <c r="E351" i="2"/>
  <c r="E352" i="2"/>
  <c r="E353" i="2"/>
  <c r="F353" i="2" s="1"/>
  <c r="E354" i="2"/>
  <c r="F354" i="2" s="1"/>
  <c r="E355" i="2"/>
  <c r="F355" i="2" s="1"/>
  <c r="E356" i="2"/>
  <c r="E357" i="2"/>
  <c r="E358" i="2"/>
  <c r="F358" i="2" s="1"/>
  <c r="E359" i="2"/>
  <c r="E360" i="2"/>
  <c r="E361" i="2"/>
  <c r="E362" i="2"/>
  <c r="E363" i="2"/>
  <c r="E364" i="2"/>
  <c r="E365" i="2"/>
  <c r="F365" i="2" s="1"/>
  <c r="E366" i="2"/>
  <c r="F366" i="2" s="1"/>
  <c r="E367" i="2"/>
  <c r="F367" i="2" s="1"/>
  <c r="E368" i="2"/>
  <c r="E369" i="2"/>
  <c r="E370" i="2"/>
  <c r="F370" i="2" s="1"/>
  <c r="E371" i="2"/>
  <c r="E372" i="2"/>
  <c r="E373" i="2"/>
  <c r="E374" i="2"/>
  <c r="E375" i="2"/>
  <c r="E376" i="2"/>
  <c r="F376" i="2" s="1"/>
  <c r="E377" i="2"/>
  <c r="F377" i="2" s="1"/>
  <c r="E378" i="2"/>
  <c r="F378" i="2" s="1"/>
  <c r="E379" i="2"/>
  <c r="F379" i="2" s="1"/>
  <c r="E380" i="2"/>
  <c r="E381" i="2"/>
  <c r="E382" i="2"/>
  <c r="F382" i="2" s="1"/>
  <c r="E383" i="2"/>
  <c r="E384" i="2"/>
  <c r="E385" i="2"/>
  <c r="E386" i="2"/>
  <c r="E387" i="2"/>
  <c r="E388" i="2"/>
  <c r="F388" i="2" s="1"/>
  <c r="E389" i="2"/>
  <c r="F389" i="2" s="1"/>
  <c r="E390" i="2"/>
  <c r="F390" i="2" s="1"/>
  <c r="E391" i="2"/>
  <c r="F391" i="2" s="1"/>
  <c r="E392" i="2"/>
  <c r="E393" i="2"/>
  <c r="F393" i="2" s="1"/>
  <c r="E394" i="2"/>
  <c r="F394" i="2" s="1"/>
  <c r="E395" i="2"/>
  <c r="E396" i="2"/>
  <c r="E397" i="2"/>
  <c r="E398" i="2"/>
  <c r="E399" i="2"/>
  <c r="E400" i="2"/>
  <c r="F400" i="2" s="1"/>
  <c r="E401" i="2"/>
  <c r="F401" i="2" s="1"/>
  <c r="E402" i="2"/>
  <c r="F402" i="2" s="1"/>
  <c r="E403" i="2"/>
  <c r="F403" i="2" s="1"/>
  <c r="E404" i="2"/>
  <c r="E405" i="2"/>
  <c r="F405" i="2" s="1"/>
  <c r="E406" i="2"/>
  <c r="F406" i="2" s="1"/>
  <c r="E407" i="2"/>
  <c r="E408" i="2"/>
  <c r="E409" i="2"/>
  <c r="E410" i="2"/>
  <c r="E411" i="2"/>
  <c r="F411" i="2" s="1"/>
  <c r="E412" i="2"/>
  <c r="F412" i="2" s="1"/>
  <c r="E413" i="2"/>
  <c r="F413" i="2" s="1"/>
  <c r="E414" i="2"/>
  <c r="F414" i="2" s="1"/>
  <c r="E415" i="2"/>
  <c r="F415" i="2" s="1"/>
  <c r="E346" i="2"/>
  <c r="D110" i="2"/>
  <c r="F476" i="2"/>
  <c r="F475" i="2"/>
  <c r="F474" i="2"/>
  <c r="F473" i="2"/>
  <c r="F472" i="2"/>
  <c r="F471" i="2"/>
  <c r="F470" i="2"/>
  <c r="F464" i="2"/>
  <c r="F463" i="2"/>
  <c r="F462" i="2"/>
  <c r="F461" i="2"/>
  <c r="F460" i="2"/>
  <c r="F459" i="2"/>
  <c r="F452" i="2"/>
  <c r="F451" i="2"/>
  <c r="F450" i="2"/>
  <c r="F449" i="2"/>
  <c r="F448" i="2"/>
  <c r="F447" i="2"/>
  <c r="F446" i="2"/>
  <c r="F440" i="2"/>
  <c r="F439" i="2"/>
  <c r="F438" i="2"/>
  <c r="F437" i="2"/>
  <c r="F436" i="2"/>
  <c r="F435" i="2"/>
  <c r="F434" i="2"/>
  <c r="F427" i="2"/>
  <c r="F426" i="2"/>
  <c r="F425" i="2"/>
  <c r="F424" i="2"/>
  <c r="F423" i="2"/>
  <c r="F422" i="2"/>
  <c r="G259" i="2"/>
  <c r="F410" i="2"/>
  <c r="F409" i="2"/>
  <c r="F408" i="2"/>
  <c r="F407" i="2"/>
  <c r="F404" i="2"/>
  <c r="F399" i="2"/>
  <c r="F398" i="2"/>
  <c r="F397" i="2"/>
  <c r="F396" i="2"/>
  <c r="F395" i="2"/>
  <c r="F392" i="2"/>
  <c r="F387" i="2"/>
  <c r="F386" i="2"/>
  <c r="F385" i="2"/>
  <c r="F384" i="2"/>
  <c r="F383" i="2"/>
  <c r="F381" i="2"/>
  <c r="F380" i="2"/>
  <c r="F375" i="2"/>
  <c r="F374" i="2"/>
  <c r="F373" i="2"/>
  <c r="F372" i="2"/>
  <c r="F371" i="2"/>
  <c r="F369" i="2"/>
  <c r="F368" i="2"/>
  <c r="F364" i="2"/>
  <c r="F363" i="2"/>
  <c r="F362" i="2"/>
  <c r="F361" i="2"/>
  <c r="F360" i="2"/>
  <c r="F359" i="2"/>
  <c r="F357" i="2"/>
  <c r="F356" i="2"/>
  <c r="F352" i="2"/>
  <c r="F351" i="2"/>
  <c r="F350" i="2"/>
  <c r="F349" i="2"/>
  <c r="F348" i="2"/>
  <c r="F347" i="2"/>
  <c r="F346" i="2"/>
  <c r="F201"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259" i="2"/>
  <c r="E201"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259" i="2"/>
  <c r="D80" i="2"/>
  <c r="E195" i="5"/>
  <c r="G195" i="5" s="1"/>
  <c r="H195" i="5" s="1"/>
  <c r="G194" i="5"/>
  <c r="H194" i="5" s="1"/>
  <c r="E194" i="5"/>
  <c r="E193" i="5"/>
  <c r="G193" i="5" s="1"/>
  <c r="H193" i="5" s="1"/>
  <c r="E192" i="5"/>
  <c r="G192" i="5" s="1"/>
  <c r="H192" i="5" s="1"/>
  <c r="E191" i="5"/>
  <c r="G191" i="5" s="1"/>
  <c r="H191" i="5" s="1"/>
  <c r="E190" i="5"/>
  <c r="G190" i="5" s="1"/>
  <c r="H190" i="5" s="1"/>
  <c r="G189" i="5"/>
  <c r="H189" i="5" s="1"/>
  <c r="E189" i="5"/>
  <c r="G188" i="5"/>
  <c r="H188" i="5" s="1"/>
  <c r="E188" i="5"/>
  <c r="G187" i="5"/>
  <c r="H187" i="5" s="1"/>
  <c r="E187" i="5"/>
  <c r="G186" i="5"/>
  <c r="H186" i="5" s="1"/>
  <c r="E186" i="5"/>
  <c r="G185" i="5"/>
  <c r="H185" i="5" s="1"/>
  <c r="E185" i="5"/>
  <c r="E184" i="5"/>
  <c r="G184" i="5" s="1"/>
  <c r="H184" i="5" s="1"/>
  <c r="E183" i="5"/>
  <c r="G183" i="5" s="1"/>
  <c r="H183" i="5" s="1"/>
  <c r="E182" i="5"/>
  <c r="G182" i="5" s="1"/>
  <c r="H182" i="5" s="1"/>
  <c r="E181" i="5"/>
  <c r="G181" i="5" s="1"/>
  <c r="H181" i="5" s="1"/>
  <c r="E180" i="5"/>
  <c r="G180" i="5" s="1"/>
  <c r="H180" i="5" s="1"/>
  <c r="E179" i="5"/>
  <c r="G179" i="5" s="1"/>
  <c r="H179" i="5" s="1"/>
  <c r="E178" i="5"/>
  <c r="G178" i="5" s="1"/>
  <c r="H178" i="5" s="1"/>
  <c r="G177" i="5"/>
  <c r="H177" i="5" s="1"/>
  <c r="E177" i="5"/>
  <c r="G176" i="5"/>
  <c r="H176" i="5" s="1"/>
  <c r="E176" i="5"/>
  <c r="G175" i="5"/>
  <c r="H175" i="5" s="1"/>
  <c r="E175" i="5"/>
  <c r="G174" i="5"/>
  <c r="H174" i="5" s="1"/>
  <c r="E174" i="5"/>
  <c r="G173" i="5"/>
  <c r="H173" i="5" s="1"/>
  <c r="E173" i="5"/>
  <c r="E172" i="5"/>
  <c r="G172" i="5" s="1"/>
  <c r="H172" i="5" s="1"/>
  <c r="E171" i="5"/>
  <c r="G171" i="5" s="1"/>
  <c r="H171" i="5" s="1"/>
  <c r="E170" i="5"/>
  <c r="G170" i="5" s="1"/>
  <c r="H170" i="5" s="1"/>
  <c r="E169" i="5"/>
  <c r="G169" i="5" s="1"/>
  <c r="H169" i="5" s="1"/>
  <c r="E168" i="5"/>
  <c r="G168" i="5" s="1"/>
  <c r="H168" i="5" s="1"/>
  <c r="E167" i="5"/>
  <c r="G167" i="5" s="1"/>
  <c r="H167" i="5" s="1"/>
  <c r="E166" i="5"/>
  <c r="G166" i="5" s="1"/>
  <c r="H166" i="5" s="1"/>
  <c r="G165" i="5"/>
  <c r="H165" i="5" s="1"/>
  <c r="E165" i="5"/>
  <c r="G164" i="5"/>
  <c r="H164" i="5" s="1"/>
  <c r="E164" i="5"/>
  <c r="G163" i="5"/>
  <c r="H163" i="5" s="1"/>
  <c r="E163" i="5"/>
  <c r="G162" i="5"/>
  <c r="H162" i="5" s="1"/>
  <c r="E162" i="5"/>
  <c r="G161" i="5"/>
  <c r="H161" i="5" s="1"/>
  <c r="E161" i="5"/>
  <c r="E160" i="5"/>
  <c r="G160" i="5" s="1"/>
  <c r="H160" i="5" s="1"/>
  <c r="E159" i="5"/>
  <c r="G159" i="5" s="1"/>
  <c r="H159" i="5" s="1"/>
  <c r="E158" i="5"/>
  <c r="G158" i="5" s="1"/>
  <c r="H158" i="5" s="1"/>
  <c r="E157" i="5"/>
  <c r="G157" i="5" s="1"/>
  <c r="H157" i="5" s="1"/>
  <c r="E156" i="5"/>
  <c r="G156" i="5" s="1"/>
  <c r="H156" i="5" s="1"/>
  <c r="E155" i="5"/>
  <c r="G155" i="5" s="1"/>
  <c r="H155" i="5" s="1"/>
  <c r="E154" i="5"/>
  <c r="G154" i="5" s="1"/>
  <c r="H154" i="5" s="1"/>
  <c r="G153" i="5"/>
  <c r="H153" i="5" s="1"/>
  <c r="E153" i="5"/>
  <c r="G152" i="5"/>
  <c r="H152" i="5" s="1"/>
  <c r="E152" i="5"/>
  <c r="G151" i="5"/>
  <c r="H151" i="5" s="1"/>
  <c r="E151" i="5"/>
  <c r="G150" i="5"/>
  <c r="H150" i="5" s="1"/>
  <c r="E150" i="5"/>
  <c r="G149" i="5"/>
  <c r="H149" i="5" s="1"/>
  <c r="E149" i="5"/>
  <c r="E148" i="5"/>
  <c r="G148" i="5" s="1"/>
  <c r="H148" i="5" s="1"/>
  <c r="E147" i="5"/>
  <c r="G147" i="5" s="1"/>
  <c r="H147" i="5" s="1"/>
  <c r="G146" i="5"/>
  <c r="H146" i="5" s="1"/>
  <c r="F146" i="5"/>
  <c r="J188" i="5" s="1"/>
  <c r="K188" i="5" s="1"/>
  <c r="E146" i="5"/>
  <c r="E135" i="5"/>
  <c r="G135" i="5" s="1"/>
  <c r="H135" i="5" s="1"/>
  <c r="E134" i="5"/>
  <c r="G134" i="5" s="1"/>
  <c r="H134" i="5" s="1"/>
  <c r="E133" i="5"/>
  <c r="G133" i="5" s="1"/>
  <c r="H133" i="5" s="1"/>
  <c r="E132" i="5"/>
  <c r="G132" i="5" s="1"/>
  <c r="H132" i="5" s="1"/>
  <c r="H131" i="5"/>
  <c r="G131" i="5"/>
  <c r="E131" i="5"/>
  <c r="G130" i="5"/>
  <c r="H130" i="5" s="1"/>
  <c r="E130" i="5"/>
  <c r="E129" i="5"/>
  <c r="G129" i="5" s="1"/>
  <c r="H129" i="5" s="1"/>
  <c r="G128" i="5"/>
  <c r="H128" i="5" s="1"/>
  <c r="E128" i="5"/>
  <c r="G127" i="5"/>
  <c r="H127" i="5" s="1"/>
  <c r="E127" i="5"/>
  <c r="J126" i="5"/>
  <c r="K126" i="5" s="1"/>
  <c r="E126" i="5"/>
  <c r="G126" i="5" s="1"/>
  <c r="H126" i="5" s="1"/>
  <c r="E125" i="5"/>
  <c r="G125" i="5" s="1"/>
  <c r="H125" i="5" s="1"/>
  <c r="G124" i="5"/>
  <c r="H124" i="5" s="1"/>
  <c r="E124" i="5"/>
  <c r="E123" i="5"/>
  <c r="G123" i="5" s="1"/>
  <c r="H123" i="5" s="1"/>
  <c r="E122" i="5"/>
  <c r="G122" i="5" s="1"/>
  <c r="H122" i="5" s="1"/>
  <c r="E121" i="5"/>
  <c r="G121" i="5" s="1"/>
  <c r="H121" i="5" s="1"/>
  <c r="E120" i="5"/>
  <c r="G120" i="5" s="1"/>
  <c r="H120" i="5" s="1"/>
  <c r="H119" i="5"/>
  <c r="G119" i="5"/>
  <c r="E119" i="5"/>
  <c r="G118" i="5"/>
  <c r="H118" i="5" s="1"/>
  <c r="E118" i="5"/>
  <c r="E117" i="5"/>
  <c r="G117" i="5" s="1"/>
  <c r="H117" i="5" s="1"/>
  <c r="G116" i="5"/>
  <c r="H116" i="5" s="1"/>
  <c r="E116" i="5"/>
  <c r="G115" i="5"/>
  <c r="H115" i="5" s="1"/>
  <c r="E115" i="5"/>
  <c r="J114" i="5"/>
  <c r="K114" i="5" s="1"/>
  <c r="E114" i="5"/>
  <c r="G114" i="5" s="1"/>
  <c r="H114" i="5" s="1"/>
  <c r="E113" i="5"/>
  <c r="G113" i="5" s="1"/>
  <c r="H113" i="5" s="1"/>
  <c r="G112" i="5"/>
  <c r="H112" i="5" s="1"/>
  <c r="E112" i="5"/>
  <c r="E111" i="5"/>
  <c r="G111" i="5" s="1"/>
  <c r="H111" i="5" s="1"/>
  <c r="E110" i="5"/>
  <c r="G110" i="5" s="1"/>
  <c r="H110" i="5" s="1"/>
  <c r="E109" i="5"/>
  <c r="G109" i="5" s="1"/>
  <c r="H109" i="5" s="1"/>
  <c r="E108" i="5"/>
  <c r="G108" i="5" s="1"/>
  <c r="H108" i="5" s="1"/>
  <c r="H107" i="5"/>
  <c r="G107" i="5"/>
  <c r="E107" i="5"/>
  <c r="G106" i="5"/>
  <c r="H106" i="5" s="1"/>
  <c r="E106" i="5"/>
  <c r="E105" i="5"/>
  <c r="G105" i="5" s="1"/>
  <c r="H105" i="5" s="1"/>
  <c r="G104" i="5"/>
  <c r="H104" i="5" s="1"/>
  <c r="E104" i="5"/>
  <c r="G103" i="5"/>
  <c r="H103" i="5" s="1"/>
  <c r="E103" i="5"/>
  <c r="J102" i="5"/>
  <c r="K102" i="5" s="1"/>
  <c r="E102" i="5"/>
  <c r="G102" i="5" s="1"/>
  <c r="H102" i="5" s="1"/>
  <c r="E101" i="5"/>
  <c r="G101" i="5" s="1"/>
  <c r="H101" i="5" s="1"/>
  <c r="G100" i="5"/>
  <c r="H100" i="5" s="1"/>
  <c r="E100" i="5"/>
  <c r="E99" i="5"/>
  <c r="G99" i="5" s="1"/>
  <c r="H99" i="5" s="1"/>
  <c r="E98" i="5"/>
  <c r="G98" i="5" s="1"/>
  <c r="H98" i="5" s="1"/>
  <c r="E97" i="5"/>
  <c r="G97" i="5" s="1"/>
  <c r="H97" i="5" s="1"/>
  <c r="G96" i="5"/>
  <c r="H96" i="5" s="1"/>
  <c r="F96" i="5"/>
  <c r="J131" i="5" s="1"/>
  <c r="K131" i="5" s="1"/>
  <c r="E96" i="5"/>
  <c r="E88" i="5"/>
  <c r="G88" i="5" s="1"/>
  <c r="H88" i="5" s="1"/>
  <c r="E87" i="5"/>
  <c r="G87" i="5" s="1"/>
  <c r="H87" i="5" s="1"/>
  <c r="G86" i="5"/>
  <c r="H86" i="5" s="1"/>
  <c r="E86" i="5"/>
  <c r="E85" i="5"/>
  <c r="G85" i="5" s="1"/>
  <c r="H85" i="5" s="1"/>
  <c r="E84" i="5"/>
  <c r="G84" i="5" s="1"/>
  <c r="H84" i="5" s="1"/>
  <c r="G83" i="5"/>
  <c r="H83" i="5" s="1"/>
  <c r="E83" i="5"/>
  <c r="E82" i="5"/>
  <c r="G82" i="5" s="1"/>
  <c r="H82" i="5" s="1"/>
  <c r="E81" i="5"/>
  <c r="G81" i="5" s="1"/>
  <c r="H81" i="5" s="1"/>
  <c r="G80" i="5"/>
  <c r="H80" i="5" s="1"/>
  <c r="E80" i="5"/>
  <c r="E79" i="5"/>
  <c r="G79" i="5" s="1"/>
  <c r="H79" i="5" s="1"/>
  <c r="H78" i="5"/>
  <c r="E78" i="5"/>
  <c r="G78" i="5" s="1"/>
  <c r="G77" i="5"/>
  <c r="H77" i="5" s="1"/>
  <c r="E77" i="5"/>
  <c r="E76" i="5"/>
  <c r="G76" i="5" s="1"/>
  <c r="H76" i="5" s="1"/>
  <c r="E75" i="5"/>
  <c r="G75" i="5" s="1"/>
  <c r="H75" i="5" s="1"/>
  <c r="G74" i="5"/>
  <c r="H74" i="5" s="1"/>
  <c r="E74" i="5"/>
  <c r="E73" i="5"/>
  <c r="G73" i="5" s="1"/>
  <c r="H73" i="5" s="1"/>
  <c r="E72" i="5"/>
  <c r="G72" i="5" s="1"/>
  <c r="H72" i="5" s="1"/>
  <c r="G71" i="5"/>
  <c r="H71" i="5" s="1"/>
  <c r="E71" i="5"/>
  <c r="G70" i="5"/>
  <c r="H70" i="5" s="1"/>
  <c r="E70" i="5"/>
  <c r="E69" i="5"/>
  <c r="G69" i="5" s="1"/>
  <c r="H69" i="5" s="1"/>
  <c r="G68" i="5"/>
  <c r="H68" i="5" s="1"/>
  <c r="E68" i="5"/>
  <c r="E67" i="5"/>
  <c r="G67" i="5" s="1"/>
  <c r="H67" i="5" s="1"/>
  <c r="E66" i="5"/>
  <c r="G66" i="5" s="1"/>
  <c r="H66" i="5" s="1"/>
  <c r="H65" i="5"/>
  <c r="G65" i="5"/>
  <c r="E65" i="5"/>
  <c r="E64" i="5"/>
  <c r="G64" i="5" s="1"/>
  <c r="H64" i="5" s="1"/>
  <c r="H63" i="5"/>
  <c r="E63" i="5"/>
  <c r="G63" i="5" s="1"/>
  <c r="G62" i="5"/>
  <c r="H62" i="5" s="1"/>
  <c r="E62" i="5"/>
  <c r="E61" i="5"/>
  <c r="G61" i="5" s="1"/>
  <c r="H61" i="5" s="1"/>
  <c r="H60" i="5"/>
  <c r="E60" i="5"/>
  <c r="G60" i="5" s="1"/>
  <c r="F59" i="5"/>
  <c r="J82" i="5" s="1"/>
  <c r="K82" i="5" s="1"/>
  <c r="E59" i="5"/>
  <c r="G59" i="5" s="1"/>
  <c r="H59" i="5" s="1"/>
  <c r="E50" i="5"/>
  <c r="G50" i="5" s="1"/>
  <c r="H50" i="5" s="1"/>
  <c r="G49" i="5"/>
  <c r="H49" i="5" s="1"/>
  <c r="E49" i="5"/>
  <c r="J48" i="5"/>
  <c r="K48" i="5" s="1"/>
  <c r="E48" i="5"/>
  <c r="G48" i="5" s="1"/>
  <c r="H48" i="5" s="1"/>
  <c r="E47" i="5"/>
  <c r="G47" i="5" s="1"/>
  <c r="H47" i="5" s="1"/>
  <c r="H46" i="5"/>
  <c r="G46" i="5"/>
  <c r="E46" i="5"/>
  <c r="E45" i="5"/>
  <c r="G45" i="5" s="1"/>
  <c r="H45" i="5" s="1"/>
  <c r="H44" i="5"/>
  <c r="E44" i="5"/>
  <c r="G44" i="5" s="1"/>
  <c r="G43" i="5"/>
  <c r="H43" i="5" s="1"/>
  <c r="E43" i="5"/>
  <c r="J42" i="5"/>
  <c r="K42" i="5" s="1"/>
  <c r="E42" i="5"/>
  <c r="G42" i="5" s="1"/>
  <c r="H42" i="5" s="1"/>
  <c r="J41" i="5"/>
  <c r="K41" i="5" s="1"/>
  <c r="H41" i="5"/>
  <c r="E41" i="5"/>
  <c r="G41" i="5" s="1"/>
  <c r="G40" i="5"/>
  <c r="H40" i="5" s="1"/>
  <c r="E40" i="5"/>
  <c r="J39" i="5"/>
  <c r="K39" i="5" s="1"/>
  <c r="E39" i="5"/>
  <c r="G39" i="5" s="1"/>
  <c r="H39" i="5" s="1"/>
  <c r="E38" i="5"/>
  <c r="G38" i="5" s="1"/>
  <c r="H38" i="5" s="1"/>
  <c r="G37" i="5"/>
  <c r="H37" i="5" s="1"/>
  <c r="E37" i="5"/>
  <c r="J36" i="5"/>
  <c r="K36" i="5" s="1"/>
  <c r="E36" i="5"/>
  <c r="G36" i="5" s="1"/>
  <c r="H36" i="5" s="1"/>
  <c r="E35" i="5"/>
  <c r="G35" i="5" s="1"/>
  <c r="H35" i="5" s="1"/>
  <c r="G34" i="5"/>
  <c r="H34" i="5" s="1"/>
  <c r="E34" i="5"/>
  <c r="E33" i="5"/>
  <c r="G33" i="5" s="1"/>
  <c r="H33" i="5" s="1"/>
  <c r="E32" i="5"/>
  <c r="G32" i="5" s="1"/>
  <c r="H32" i="5" s="1"/>
  <c r="H31" i="5"/>
  <c r="F31" i="5"/>
  <c r="J46" i="5" s="1"/>
  <c r="K46" i="5" s="1"/>
  <c r="E31" i="5"/>
  <c r="G31" i="5" s="1"/>
  <c r="J8" i="5"/>
  <c r="K8" i="5" s="1"/>
  <c r="H8" i="5"/>
  <c r="E8" i="5"/>
  <c r="G8" i="5" s="1"/>
  <c r="G7" i="5"/>
  <c r="H7" i="5" s="1"/>
  <c r="E7" i="5"/>
  <c r="J6" i="5"/>
  <c r="K6" i="5" s="1"/>
  <c r="L6" i="5" s="1"/>
  <c r="H6" i="5"/>
  <c r="I6" i="5" s="1"/>
  <c r="M6" i="5" s="1"/>
  <c r="N6" i="5" s="1"/>
  <c r="F6" i="5"/>
  <c r="J7" i="5" s="1"/>
  <c r="K7" i="5" s="1"/>
  <c r="E6" i="5"/>
  <c r="G6" i="5" s="1"/>
  <c r="F249" i="4"/>
  <c r="G249" i="4" s="1"/>
  <c r="H249" i="4" s="1"/>
  <c r="F248" i="4"/>
  <c r="G248" i="4" s="1"/>
  <c r="H248" i="4" s="1"/>
  <c r="G247" i="4"/>
  <c r="H247" i="4" s="1"/>
  <c r="F247" i="4"/>
  <c r="G246" i="4"/>
  <c r="H246" i="4" s="1"/>
  <c r="F246" i="4"/>
  <c r="F245" i="4"/>
  <c r="G245" i="4" s="1"/>
  <c r="H245" i="4" s="1"/>
  <c r="F244" i="4"/>
  <c r="G244" i="4" s="1"/>
  <c r="H244" i="4" s="1"/>
  <c r="F243" i="4"/>
  <c r="G243" i="4" s="1"/>
  <c r="H243" i="4" s="1"/>
  <c r="F242" i="4"/>
  <c r="G242" i="4" s="1"/>
  <c r="H242" i="4" s="1"/>
  <c r="F241" i="4"/>
  <c r="G241" i="4" s="1"/>
  <c r="H241" i="4" s="1"/>
  <c r="F240" i="4"/>
  <c r="G240" i="4" s="1"/>
  <c r="H240" i="4" s="1"/>
  <c r="F239" i="4"/>
  <c r="G239" i="4" s="1"/>
  <c r="H239" i="4" s="1"/>
  <c r="G238" i="4"/>
  <c r="H238" i="4" s="1"/>
  <c r="F238" i="4"/>
  <c r="F237" i="4"/>
  <c r="G237" i="4" s="1"/>
  <c r="H237" i="4" s="1"/>
  <c r="H236" i="4"/>
  <c r="F236" i="4"/>
  <c r="G236" i="4" s="1"/>
  <c r="F235" i="4"/>
  <c r="G235" i="4" s="1"/>
  <c r="H235" i="4" s="1"/>
  <c r="G234" i="4"/>
  <c r="H234" i="4" s="1"/>
  <c r="F234" i="4"/>
  <c r="F233" i="4"/>
  <c r="G233" i="4" s="1"/>
  <c r="H233" i="4" s="1"/>
  <c r="F232" i="4"/>
  <c r="G232" i="4" s="1"/>
  <c r="H232" i="4" s="1"/>
  <c r="H231" i="4"/>
  <c r="G231" i="4"/>
  <c r="F231" i="4"/>
  <c r="G230" i="4"/>
  <c r="H230" i="4" s="1"/>
  <c r="F230" i="4"/>
  <c r="F229" i="4"/>
  <c r="G229" i="4" s="1"/>
  <c r="H229" i="4" s="1"/>
  <c r="F228" i="4"/>
  <c r="G228" i="4" s="1"/>
  <c r="H228" i="4" s="1"/>
  <c r="F227" i="4"/>
  <c r="G227" i="4" s="1"/>
  <c r="H227" i="4" s="1"/>
  <c r="G226" i="4"/>
  <c r="H226" i="4" s="1"/>
  <c r="F226" i="4"/>
  <c r="F225" i="4"/>
  <c r="G225" i="4" s="1"/>
  <c r="H225" i="4" s="1"/>
  <c r="F224" i="4"/>
  <c r="G224" i="4" s="1"/>
  <c r="H224" i="4" s="1"/>
  <c r="F223" i="4"/>
  <c r="G223" i="4" s="1"/>
  <c r="H223" i="4" s="1"/>
  <c r="G222" i="4"/>
  <c r="H222" i="4" s="1"/>
  <c r="F222" i="4"/>
  <c r="F221" i="4"/>
  <c r="G221" i="4" s="1"/>
  <c r="H221" i="4" s="1"/>
  <c r="H220" i="4"/>
  <c r="F220" i="4"/>
  <c r="G220" i="4" s="1"/>
  <c r="F219" i="4"/>
  <c r="G219" i="4" s="1"/>
  <c r="H219" i="4" s="1"/>
  <c r="G218" i="4"/>
  <c r="H218" i="4" s="1"/>
  <c r="F218" i="4"/>
  <c r="F217" i="4"/>
  <c r="G217" i="4" s="1"/>
  <c r="H217" i="4" s="1"/>
  <c r="F216" i="4"/>
  <c r="G216" i="4" s="1"/>
  <c r="H216" i="4" s="1"/>
  <c r="H215" i="4"/>
  <c r="G215" i="4"/>
  <c r="F215" i="4"/>
  <c r="G214" i="4"/>
  <c r="H214" i="4" s="1"/>
  <c r="F214" i="4"/>
  <c r="F213" i="4"/>
  <c r="G213" i="4" s="1"/>
  <c r="H213" i="4" s="1"/>
  <c r="F212" i="4"/>
  <c r="G212" i="4" s="1"/>
  <c r="H212" i="4" s="1"/>
  <c r="F211" i="4"/>
  <c r="G211" i="4" s="1"/>
  <c r="H211" i="4" s="1"/>
  <c r="G210" i="4"/>
  <c r="H210" i="4" s="1"/>
  <c r="F210" i="4"/>
  <c r="F209" i="4"/>
  <c r="G209" i="4" s="1"/>
  <c r="H209" i="4" s="1"/>
  <c r="F208" i="4"/>
  <c r="G208" i="4" s="1"/>
  <c r="H208" i="4" s="1"/>
  <c r="F207" i="4"/>
  <c r="G207" i="4" s="1"/>
  <c r="H207" i="4" s="1"/>
  <c r="G206" i="4"/>
  <c r="H206" i="4" s="1"/>
  <c r="F206" i="4"/>
  <c r="F205" i="4"/>
  <c r="G205" i="4" s="1"/>
  <c r="H205" i="4" s="1"/>
  <c r="H204" i="4"/>
  <c r="F204" i="4"/>
  <c r="G204" i="4" s="1"/>
  <c r="F203" i="4"/>
  <c r="G203" i="4" s="1"/>
  <c r="H203" i="4" s="1"/>
  <c r="G202" i="4"/>
  <c r="H202" i="4" s="1"/>
  <c r="F202" i="4"/>
  <c r="F201" i="4"/>
  <c r="G201" i="4" s="1"/>
  <c r="H201" i="4" s="1"/>
  <c r="G200" i="4"/>
  <c r="H200" i="4" s="1"/>
  <c r="F200" i="4"/>
  <c r="F189" i="4"/>
  <c r="G189" i="4" s="1"/>
  <c r="H189" i="4" s="1"/>
  <c r="G188" i="4"/>
  <c r="H188" i="4" s="1"/>
  <c r="F188" i="4"/>
  <c r="F187" i="4"/>
  <c r="G187" i="4" s="1"/>
  <c r="H187" i="4" s="1"/>
  <c r="F186" i="4"/>
  <c r="G186" i="4" s="1"/>
  <c r="H186" i="4" s="1"/>
  <c r="F185" i="4"/>
  <c r="G185" i="4" s="1"/>
  <c r="H185" i="4" s="1"/>
  <c r="H184" i="4"/>
  <c r="G184" i="4"/>
  <c r="F184" i="4"/>
  <c r="F183" i="4"/>
  <c r="G183" i="4" s="1"/>
  <c r="H183" i="4" s="1"/>
  <c r="F182" i="4"/>
  <c r="G182" i="4" s="1"/>
  <c r="H182" i="4" s="1"/>
  <c r="H181" i="4"/>
  <c r="F181" i="4"/>
  <c r="G181" i="4" s="1"/>
  <c r="G180" i="4"/>
  <c r="H180" i="4" s="1"/>
  <c r="F180" i="4"/>
  <c r="G179" i="4"/>
  <c r="H179" i="4" s="1"/>
  <c r="F179" i="4"/>
  <c r="G178" i="4"/>
  <c r="H178" i="4" s="1"/>
  <c r="F178" i="4"/>
  <c r="F177" i="4"/>
  <c r="G177" i="4" s="1"/>
  <c r="H177" i="4" s="1"/>
  <c r="G176" i="4"/>
  <c r="H176" i="4" s="1"/>
  <c r="F176" i="4"/>
  <c r="F175" i="4"/>
  <c r="G175" i="4" s="1"/>
  <c r="H175" i="4" s="1"/>
  <c r="F174" i="4"/>
  <c r="G174" i="4" s="1"/>
  <c r="H174" i="4" s="1"/>
  <c r="F173" i="4"/>
  <c r="G173" i="4" s="1"/>
  <c r="H173" i="4" s="1"/>
  <c r="H172" i="4"/>
  <c r="G172" i="4"/>
  <c r="F172" i="4"/>
  <c r="F171" i="4"/>
  <c r="G171" i="4" s="1"/>
  <c r="H171" i="4" s="1"/>
  <c r="F170" i="4"/>
  <c r="G170" i="4" s="1"/>
  <c r="H170" i="4" s="1"/>
  <c r="H169" i="4"/>
  <c r="F169" i="4"/>
  <c r="G169" i="4" s="1"/>
  <c r="G168" i="4"/>
  <c r="H168" i="4" s="1"/>
  <c r="F168" i="4"/>
  <c r="G167" i="4"/>
  <c r="H167" i="4" s="1"/>
  <c r="F167" i="4"/>
  <c r="G166" i="4"/>
  <c r="H166" i="4" s="1"/>
  <c r="F166" i="4"/>
  <c r="F165" i="4"/>
  <c r="G165" i="4" s="1"/>
  <c r="H165" i="4" s="1"/>
  <c r="G164" i="4"/>
  <c r="H164" i="4" s="1"/>
  <c r="F164" i="4"/>
  <c r="F163" i="4"/>
  <c r="G163" i="4" s="1"/>
  <c r="H163" i="4" s="1"/>
  <c r="F162" i="4"/>
  <c r="G162" i="4" s="1"/>
  <c r="H162" i="4" s="1"/>
  <c r="F161" i="4"/>
  <c r="G161" i="4" s="1"/>
  <c r="H161" i="4" s="1"/>
  <c r="H160" i="4"/>
  <c r="G160" i="4"/>
  <c r="F160" i="4"/>
  <c r="F159" i="4"/>
  <c r="G159" i="4" s="1"/>
  <c r="H159" i="4" s="1"/>
  <c r="F158" i="4"/>
  <c r="G158" i="4" s="1"/>
  <c r="H158" i="4" s="1"/>
  <c r="H157" i="4"/>
  <c r="F157" i="4"/>
  <c r="G157" i="4" s="1"/>
  <c r="G156" i="4"/>
  <c r="H156" i="4" s="1"/>
  <c r="F156" i="4"/>
  <c r="G155" i="4"/>
  <c r="H155" i="4" s="1"/>
  <c r="F155" i="4"/>
  <c r="H154" i="4"/>
  <c r="G154" i="4"/>
  <c r="F154" i="4"/>
  <c r="F153" i="4"/>
  <c r="G153" i="4" s="1"/>
  <c r="H153" i="4" s="1"/>
  <c r="G152" i="4"/>
  <c r="H152" i="4" s="1"/>
  <c r="F152" i="4"/>
  <c r="F151" i="4"/>
  <c r="G151" i="4" s="1"/>
  <c r="H151" i="4" s="1"/>
  <c r="H150" i="4"/>
  <c r="G150" i="4"/>
  <c r="F150" i="4"/>
  <c r="F140" i="4"/>
  <c r="G140" i="4" s="1"/>
  <c r="H140" i="4" s="1"/>
  <c r="G139" i="4"/>
  <c r="H139" i="4" s="1"/>
  <c r="F139" i="4"/>
  <c r="G138" i="4"/>
  <c r="H138" i="4" s="1"/>
  <c r="F138" i="4"/>
  <c r="H137" i="4"/>
  <c r="G137" i="4"/>
  <c r="F137" i="4"/>
  <c r="G136" i="4"/>
  <c r="H136" i="4" s="1"/>
  <c r="F136" i="4"/>
  <c r="F135" i="4"/>
  <c r="G135" i="4" s="1"/>
  <c r="H135" i="4" s="1"/>
  <c r="F134" i="4"/>
  <c r="G134" i="4" s="1"/>
  <c r="H134" i="4" s="1"/>
  <c r="G133" i="4"/>
  <c r="H133" i="4" s="1"/>
  <c r="F133" i="4"/>
  <c r="F132" i="4"/>
  <c r="G132" i="4" s="1"/>
  <c r="H132" i="4" s="1"/>
  <c r="F131" i="4"/>
  <c r="G131" i="4" s="1"/>
  <c r="H131" i="4" s="1"/>
  <c r="F130" i="4"/>
  <c r="G130" i="4" s="1"/>
  <c r="H130" i="4" s="1"/>
  <c r="H129" i="4"/>
  <c r="G129" i="4"/>
  <c r="F129" i="4"/>
  <c r="F128" i="4"/>
  <c r="G128" i="4" s="1"/>
  <c r="H128" i="4" s="1"/>
  <c r="G127" i="4"/>
  <c r="H127" i="4" s="1"/>
  <c r="F127" i="4"/>
  <c r="G126" i="4"/>
  <c r="H126" i="4" s="1"/>
  <c r="F126" i="4"/>
  <c r="G125" i="4"/>
  <c r="H125" i="4" s="1"/>
  <c r="F125" i="4"/>
  <c r="H124" i="4"/>
  <c r="G124" i="4"/>
  <c r="F124" i="4"/>
  <c r="F123" i="4"/>
  <c r="G123" i="4" s="1"/>
  <c r="H123" i="4" s="1"/>
  <c r="F122" i="4"/>
  <c r="G122" i="4" s="1"/>
  <c r="H122" i="4" s="1"/>
  <c r="G121" i="4"/>
  <c r="H121" i="4" s="1"/>
  <c r="F121" i="4"/>
  <c r="G120" i="4"/>
  <c r="H120" i="4" s="1"/>
  <c r="F120" i="4"/>
  <c r="F119" i="4"/>
  <c r="G119" i="4" s="1"/>
  <c r="H119" i="4" s="1"/>
  <c r="F118" i="4"/>
  <c r="G118" i="4" s="1"/>
  <c r="H118" i="4" s="1"/>
  <c r="H117" i="4"/>
  <c r="G117" i="4"/>
  <c r="F117" i="4"/>
  <c r="F116" i="4"/>
  <c r="G116" i="4" s="1"/>
  <c r="H116" i="4" s="1"/>
  <c r="G115" i="4"/>
  <c r="H115" i="4" s="1"/>
  <c r="F115" i="4"/>
  <c r="G114" i="4"/>
  <c r="H114" i="4" s="1"/>
  <c r="F114" i="4"/>
  <c r="G113" i="4"/>
  <c r="H113" i="4" s="1"/>
  <c r="F113" i="4"/>
  <c r="G112" i="4"/>
  <c r="H112" i="4" s="1"/>
  <c r="F112" i="4"/>
  <c r="F111" i="4"/>
  <c r="G111" i="4" s="1"/>
  <c r="H111" i="4" s="1"/>
  <c r="E101" i="4"/>
  <c r="F101" i="4" s="1"/>
  <c r="G101" i="4" s="1"/>
  <c r="F100" i="4"/>
  <c r="G100" i="4" s="1"/>
  <c r="E100" i="4"/>
  <c r="E99" i="4"/>
  <c r="F99" i="4" s="1"/>
  <c r="G99" i="4" s="1"/>
  <c r="F98" i="4"/>
  <c r="G98" i="4" s="1"/>
  <c r="E98" i="4"/>
  <c r="E97" i="4"/>
  <c r="F97" i="4" s="1"/>
  <c r="G97" i="4" s="1"/>
  <c r="E96" i="4"/>
  <c r="F96" i="4" s="1"/>
  <c r="G96" i="4" s="1"/>
  <c r="E95" i="4"/>
  <c r="F95" i="4" s="1"/>
  <c r="G95" i="4" s="1"/>
  <c r="E94" i="4"/>
  <c r="F94" i="4" s="1"/>
  <c r="G94" i="4" s="1"/>
  <c r="E93" i="4"/>
  <c r="F93" i="4" s="1"/>
  <c r="G93" i="4" s="1"/>
  <c r="F92" i="4"/>
  <c r="G92" i="4" s="1"/>
  <c r="E92" i="4"/>
  <c r="F91" i="4"/>
  <c r="G91" i="4" s="1"/>
  <c r="E91" i="4"/>
  <c r="F90" i="4"/>
  <c r="G90" i="4" s="1"/>
  <c r="E90" i="4"/>
  <c r="G89" i="4"/>
  <c r="F89" i="4"/>
  <c r="E89" i="4"/>
  <c r="E88" i="4"/>
  <c r="F88" i="4" s="1"/>
  <c r="G88" i="4" s="1"/>
  <c r="E87" i="4"/>
  <c r="F87" i="4" s="1"/>
  <c r="G87" i="4" s="1"/>
  <c r="E86" i="4"/>
  <c r="F86" i="4" s="1"/>
  <c r="G86" i="4" s="1"/>
  <c r="F85" i="4"/>
  <c r="G85" i="4" s="1"/>
  <c r="E85" i="4"/>
  <c r="E84" i="4"/>
  <c r="F84" i="4" s="1"/>
  <c r="G84" i="4" s="1"/>
  <c r="E83" i="4"/>
  <c r="F83" i="4" s="1"/>
  <c r="G83" i="4" s="1"/>
  <c r="F82" i="4"/>
  <c r="G82" i="4" s="1"/>
  <c r="E82" i="4"/>
  <c r="G8" i="4"/>
  <c r="E8" i="4"/>
  <c r="F8" i="4" s="1"/>
  <c r="E7" i="4"/>
  <c r="F7" i="4" s="1"/>
  <c r="G7" i="4" s="1"/>
  <c r="E6" i="4"/>
  <c r="F6" i="4" s="1"/>
  <c r="G6" i="4" s="1"/>
  <c r="H6" i="4" s="1"/>
  <c r="I6" i="4" s="1"/>
  <c r="H240" i="3"/>
  <c r="G240" i="3"/>
  <c r="F240" i="3"/>
  <c r="F239" i="3"/>
  <c r="G239" i="3" s="1"/>
  <c r="H239" i="3" s="1"/>
  <c r="F238" i="3"/>
  <c r="G238" i="3" s="1"/>
  <c r="H238" i="3" s="1"/>
  <c r="F237" i="3"/>
  <c r="G237" i="3" s="1"/>
  <c r="H237" i="3" s="1"/>
  <c r="H236" i="3"/>
  <c r="G236" i="3"/>
  <c r="F236" i="3"/>
  <c r="F235" i="3"/>
  <c r="G235" i="3" s="1"/>
  <c r="H235" i="3" s="1"/>
  <c r="F234" i="3"/>
  <c r="G234" i="3" s="1"/>
  <c r="H234" i="3" s="1"/>
  <c r="F233" i="3"/>
  <c r="G233" i="3" s="1"/>
  <c r="H233" i="3" s="1"/>
  <c r="H232" i="3"/>
  <c r="G232" i="3"/>
  <c r="F232" i="3"/>
  <c r="F231" i="3"/>
  <c r="G231" i="3" s="1"/>
  <c r="H231" i="3" s="1"/>
  <c r="F230" i="3"/>
  <c r="G230" i="3" s="1"/>
  <c r="H230" i="3" s="1"/>
  <c r="F229" i="3"/>
  <c r="G229" i="3" s="1"/>
  <c r="H229" i="3" s="1"/>
  <c r="H228" i="3"/>
  <c r="G228" i="3"/>
  <c r="F228" i="3"/>
  <c r="F227" i="3"/>
  <c r="G227" i="3" s="1"/>
  <c r="H227" i="3" s="1"/>
  <c r="F226" i="3"/>
  <c r="G226" i="3" s="1"/>
  <c r="H226" i="3" s="1"/>
  <c r="F225" i="3"/>
  <c r="G225" i="3" s="1"/>
  <c r="H225" i="3" s="1"/>
  <c r="H224" i="3"/>
  <c r="G224" i="3"/>
  <c r="F224" i="3"/>
  <c r="F223" i="3"/>
  <c r="G223" i="3" s="1"/>
  <c r="H223" i="3" s="1"/>
  <c r="F222" i="3"/>
  <c r="G222" i="3" s="1"/>
  <c r="H222" i="3" s="1"/>
  <c r="F221" i="3"/>
  <c r="G221" i="3" s="1"/>
  <c r="H221" i="3" s="1"/>
  <c r="H220" i="3"/>
  <c r="G220" i="3"/>
  <c r="F220" i="3"/>
  <c r="F219" i="3"/>
  <c r="G219" i="3" s="1"/>
  <c r="H219" i="3" s="1"/>
  <c r="F218" i="3"/>
  <c r="G218" i="3" s="1"/>
  <c r="H218" i="3" s="1"/>
  <c r="F217" i="3"/>
  <c r="G217" i="3" s="1"/>
  <c r="H217" i="3" s="1"/>
  <c r="H216" i="3"/>
  <c r="G216" i="3"/>
  <c r="F216" i="3"/>
  <c r="F215" i="3"/>
  <c r="G215" i="3" s="1"/>
  <c r="H215" i="3" s="1"/>
  <c r="F214" i="3"/>
  <c r="G214" i="3" s="1"/>
  <c r="H214" i="3" s="1"/>
  <c r="F213" i="3"/>
  <c r="G213" i="3" s="1"/>
  <c r="H213" i="3" s="1"/>
  <c r="H212" i="3"/>
  <c r="G212" i="3"/>
  <c r="F212" i="3"/>
  <c r="F211" i="3"/>
  <c r="G211" i="3" s="1"/>
  <c r="H211" i="3" s="1"/>
  <c r="F210" i="3"/>
  <c r="G210" i="3" s="1"/>
  <c r="H210" i="3" s="1"/>
  <c r="F209" i="3"/>
  <c r="G209" i="3" s="1"/>
  <c r="H209" i="3" s="1"/>
  <c r="H208" i="3"/>
  <c r="G208" i="3"/>
  <c r="F208" i="3"/>
  <c r="F207" i="3"/>
  <c r="G207" i="3" s="1"/>
  <c r="H207" i="3" s="1"/>
  <c r="F206" i="3"/>
  <c r="G206" i="3" s="1"/>
  <c r="H206" i="3" s="1"/>
  <c r="F205" i="3"/>
  <c r="G205" i="3" s="1"/>
  <c r="H205" i="3" s="1"/>
  <c r="H204" i="3"/>
  <c r="G204" i="3"/>
  <c r="F204" i="3"/>
  <c r="F203" i="3"/>
  <c r="G203" i="3" s="1"/>
  <c r="H203" i="3" s="1"/>
  <c r="F202" i="3"/>
  <c r="G202" i="3" s="1"/>
  <c r="H202" i="3" s="1"/>
  <c r="F201" i="3"/>
  <c r="G201" i="3" s="1"/>
  <c r="H201" i="3" s="1"/>
  <c r="H200" i="3"/>
  <c r="G200" i="3"/>
  <c r="F200" i="3"/>
  <c r="F199" i="3"/>
  <c r="G199" i="3" s="1"/>
  <c r="H199" i="3" s="1"/>
  <c r="F198" i="3"/>
  <c r="G198" i="3" s="1"/>
  <c r="H198" i="3" s="1"/>
  <c r="F197" i="3"/>
  <c r="G197" i="3" s="1"/>
  <c r="H197" i="3" s="1"/>
  <c r="H196" i="3"/>
  <c r="G196" i="3"/>
  <c r="F196" i="3"/>
  <c r="F195" i="3"/>
  <c r="G195" i="3" s="1"/>
  <c r="H195" i="3" s="1"/>
  <c r="F194" i="3"/>
  <c r="G194" i="3" s="1"/>
  <c r="H194" i="3" s="1"/>
  <c r="F193" i="3"/>
  <c r="G193" i="3" s="1"/>
  <c r="H193" i="3" s="1"/>
  <c r="H192" i="3"/>
  <c r="G192" i="3"/>
  <c r="F192" i="3"/>
  <c r="G191" i="3"/>
  <c r="H191" i="3" s="1"/>
  <c r="F191" i="3"/>
  <c r="F180" i="3"/>
  <c r="G180" i="3" s="1"/>
  <c r="H180" i="3" s="1"/>
  <c r="F179" i="3"/>
  <c r="G179" i="3" s="1"/>
  <c r="H179" i="3" s="1"/>
  <c r="F178" i="3"/>
  <c r="G178" i="3" s="1"/>
  <c r="H178" i="3" s="1"/>
  <c r="F177" i="3"/>
  <c r="G177" i="3" s="1"/>
  <c r="H177" i="3" s="1"/>
  <c r="F176" i="3"/>
  <c r="G176" i="3" s="1"/>
  <c r="H176" i="3" s="1"/>
  <c r="F175" i="3"/>
  <c r="G175" i="3" s="1"/>
  <c r="H175" i="3" s="1"/>
  <c r="H174" i="3"/>
  <c r="F174" i="3"/>
  <c r="G174" i="3" s="1"/>
  <c r="G173" i="3"/>
  <c r="H173" i="3" s="1"/>
  <c r="F173" i="3"/>
  <c r="H172" i="3"/>
  <c r="G172" i="3"/>
  <c r="F172" i="3"/>
  <c r="G171" i="3"/>
  <c r="H171" i="3" s="1"/>
  <c r="F171" i="3"/>
  <c r="F170" i="3"/>
  <c r="G170" i="3" s="1"/>
  <c r="H170" i="3" s="1"/>
  <c r="F169" i="3"/>
  <c r="G169" i="3" s="1"/>
  <c r="H169" i="3" s="1"/>
  <c r="G168" i="3"/>
  <c r="H168" i="3" s="1"/>
  <c r="F168" i="3"/>
  <c r="F167" i="3"/>
  <c r="G167" i="3" s="1"/>
  <c r="H167" i="3" s="1"/>
  <c r="F166" i="3"/>
  <c r="G166" i="3" s="1"/>
  <c r="H166" i="3" s="1"/>
  <c r="F165" i="3"/>
  <c r="G165" i="3" s="1"/>
  <c r="H165" i="3" s="1"/>
  <c r="F164" i="3"/>
  <c r="G164" i="3" s="1"/>
  <c r="H164" i="3" s="1"/>
  <c r="F163" i="3"/>
  <c r="G163" i="3" s="1"/>
  <c r="H163" i="3" s="1"/>
  <c r="H162" i="3"/>
  <c r="F162" i="3"/>
  <c r="G162" i="3" s="1"/>
  <c r="G161" i="3"/>
  <c r="H161" i="3" s="1"/>
  <c r="F161" i="3"/>
  <c r="G160" i="3"/>
  <c r="H160" i="3" s="1"/>
  <c r="F160" i="3"/>
  <c r="H159" i="3"/>
  <c r="G159" i="3"/>
  <c r="F159" i="3"/>
  <c r="F158" i="3"/>
  <c r="G158" i="3" s="1"/>
  <c r="H158" i="3" s="1"/>
  <c r="F157" i="3"/>
  <c r="G157" i="3" s="1"/>
  <c r="H157" i="3" s="1"/>
  <c r="F156" i="3"/>
  <c r="G156" i="3" s="1"/>
  <c r="H156" i="3" s="1"/>
  <c r="G155" i="3"/>
  <c r="H155" i="3" s="1"/>
  <c r="F155" i="3"/>
  <c r="F154" i="3"/>
  <c r="G154" i="3" s="1"/>
  <c r="H154" i="3" s="1"/>
  <c r="F153" i="3"/>
  <c r="G153" i="3" s="1"/>
  <c r="H153" i="3" s="1"/>
  <c r="H152" i="3"/>
  <c r="F152" i="3"/>
  <c r="G152" i="3" s="1"/>
  <c r="F151" i="3"/>
  <c r="G151" i="3" s="1"/>
  <c r="H151" i="3" s="1"/>
  <c r="H150" i="3"/>
  <c r="F150" i="3"/>
  <c r="G150" i="3" s="1"/>
  <c r="G149" i="3"/>
  <c r="H149" i="3" s="1"/>
  <c r="F149" i="3"/>
  <c r="G148" i="3"/>
  <c r="H148" i="3" s="1"/>
  <c r="F148" i="3"/>
  <c r="G147" i="3"/>
  <c r="H147" i="3" s="1"/>
  <c r="F147" i="3"/>
  <c r="H146" i="3"/>
  <c r="F146" i="3"/>
  <c r="G146" i="3" s="1"/>
  <c r="F145" i="3"/>
  <c r="G145" i="3" s="1"/>
  <c r="H145" i="3" s="1"/>
  <c r="F144" i="3"/>
  <c r="G144" i="3" s="1"/>
  <c r="H144" i="3" s="1"/>
  <c r="F143" i="3"/>
  <c r="G143" i="3" s="1"/>
  <c r="H143" i="3" s="1"/>
  <c r="F142" i="3"/>
  <c r="G142" i="3" s="1"/>
  <c r="H142" i="3" s="1"/>
  <c r="F141" i="3"/>
  <c r="G141" i="3" s="1"/>
  <c r="H141" i="3" s="1"/>
  <c r="F132" i="3"/>
  <c r="G132" i="3" s="1"/>
  <c r="H132" i="3" s="1"/>
  <c r="F131" i="3"/>
  <c r="G131" i="3" s="1"/>
  <c r="H131" i="3" s="1"/>
  <c r="F130" i="3"/>
  <c r="G130" i="3" s="1"/>
  <c r="H130" i="3" s="1"/>
  <c r="F129" i="3"/>
  <c r="G129" i="3" s="1"/>
  <c r="H129" i="3" s="1"/>
  <c r="F128" i="3"/>
  <c r="G128" i="3" s="1"/>
  <c r="H128" i="3" s="1"/>
  <c r="H127" i="3"/>
  <c r="F127" i="3"/>
  <c r="G127" i="3" s="1"/>
  <c r="G126" i="3"/>
  <c r="H126" i="3" s="1"/>
  <c r="F126" i="3"/>
  <c r="H125" i="3"/>
  <c r="G125" i="3"/>
  <c r="F125" i="3"/>
  <c r="G124" i="3"/>
  <c r="H124" i="3" s="1"/>
  <c r="F124" i="3"/>
  <c r="G123" i="3"/>
  <c r="H123" i="3" s="1"/>
  <c r="F123" i="3"/>
  <c r="F122" i="3"/>
  <c r="G122" i="3" s="1"/>
  <c r="H122" i="3" s="1"/>
  <c r="G121" i="3"/>
  <c r="H121" i="3" s="1"/>
  <c r="F121" i="3"/>
  <c r="F120" i="3"/>
  <c r="G120" i="3" s="1"/>
  <c r="H120" i="3" s="1"/>
  <c r="G119" i="3"/>
  <c r="H119" i="3" s="1"/>
  <c r="F119" i="3"/>
  <c r="G118" i="3"/>
  <c r="H118" i="3" s="1"/>
  <c r="F118" i="3"/>
  <c r="F117" i="3"/>
  <c r="G117" i="3" s="1"/>
  <c r="H117" i="3" s="1"/>
  <c r="F116" i="3"/>
  <c r="G116" i="3" s="1"/>
  <c r="H116" i="3" s="1"/>
  <c r="F115" i="3"/>
  <c r="G115" i="3" s="1"/>
  <c r="H115" i="3" s="1"/>
  <c r="G114" i="3"/>
  <c r="H114" i="3" s="1"/>
  <c r="F114" i="3"/>
  <c r="G113" i="3"/>
  <c r="H113" i="3" s="1"/>
  <c r="F113" i="3"/>
  <c r="H112" i="3"/>
  <c r="G112" i="3"/>
  <c r="F112" i="3"/>
  <c r="G111" i="3"/>
  <c r="H111" i="3" s="1"/>
  <c r="F111" i="3"/>
  <c r="F110" i="3"/>
  <c r="G110" i="3" s="1"/>
  <c r="H110" i="3" s="1"/>
  <c r="F109" i="3"/>
  <c r="G109" i="3" s="1"/>
  <c r="H109" i="3" s="1"/>
  <c r="G108" i="3"/>
  <c r="H108" i="3" s="1"/>
  <c r="F108" i="3"/>
  <c r="F107" i="3"/>
  <c r="G107" i="3" s="1"/>
  <c r="H107" i="3" s="1"/>
  <c r="F106" i="3"/>
  <c r="G106" i="3" s="1"/>
  <c r="H106" i="3" s="1"/>
  <c r="H105" i="3"/>
  <c r="G105" i="3"/>
  <c r="F105" i="3"/>
  <c r="F104" i="3"/>
  <c r="G104" i="3" s="1"/>
  <c r="H104" i="3" s="1"/>
  <c r="G103" i="3"/>
  <c r="H103" i="3" s="1"/>
  <c r="F103" i="3"/>
  <c r="F90" i="3"/>
  <c r="G90" i="3" s="1"/>
  <c r="H90" i="3" s="1"/>
  <c r="F89" i="3"/>
  <c r="G89" i="3" s="1"/>
  <c r="H89" i="3" s="1"/>
  <c r="G88" i="3"/>
  <c r="H88" i="3" s="1"/>
  <c r="F88" i="3"/>
  <c r="G87" i="3"/>
  <c r="H87" i="3" s="1"/>
  <c r="F87" i="3"/>
  <c r="G86" i="3"/>
  <c r="H86" i="3" s="1"/>
  <c r="F86" i="3"/>
  <c r="F85" i="3"/>
  <c r="G85" i="3" s="1"/>
  <c r="H85" i="3" s="1"/>
  <c r="G84" i="3"/>
  <c r="H84" i="3" s="1"/>
  <c r="F84" i="3"/>
  <c r="G83" i="3"/>
  <c r="H83" i="3" s="1"/>
  <c r="F83" i="3"/>
  <c r="F82" i="3"/>
  <c r="G82" i="3" s="1"/>
  <c r="H82" i="3" s="1"/>
  <c r="F81" i="3"/>
  <c r="G81" i="3" s="1"/>
  <c r="H81" i="3" s="1"/>
  <c r="G80" i="3"/>
  <c r="H80" i="3" s="1"/>
  <c r="F80" i="3"/>
  <c r="G79" i="3"/>
  <c r="H79" i="3" s="1"/>
  <c r="F79" i="3"/>
  <c r="F78" i="3"/>
  <c r="G78" i="3" s="1"/>
  <c r="H78" i="3" s="1"/>
  <c r="F77" i="3"/>
  <c r="G77" i="3" s="1"/>
  <c r="H77" i="3" s="1"/>
  <c r="G76" i="3"/>
  <c r="H76" i="3" s="1"/>
  <c r="F76" i="3"/>
  <c r="G75" i="3"/>
  <c r="H75" i="3" s="1"/>
  <c r="F75" i="3"/>
  <c r="F74" i="3"/>
  <c r="G74" i="3" s="1"/>
  <c r="H74" i="3" s="1"/>
  <c r="F73" i="3"/>
  <c r="G73" i="3" s="1"/>
  <c r="H73" i="3" s="1"/>
  <c r="G72" i="3"/>
  <c r="H72" i="3" s="1"/>
  <c r="F72" i="3"/>
  <c r="F71" i="3"/>
  <c r="G71" i="3" s="1"/>
  <c r="H71" i="3" s="1"/>
  <c r="F8" i="3"/>
  <c r="G8" i="3" s="1"/>
  <c r="E8" i="3"/>
  <c r="E7" i="3"/>
  <c r="F7" i="3" s="1"/>
  <c r="G7" i="3" s="1"/>
  <c r="G6" i="3"/>
  <c r="F6" i="3"/>
  <c r="E6" i="3"/>
  <c r="D250" i="2"/>
  <c r="E250" i="2" s="1"/>
  <c r="D249" i="2"/>
  <c r="E249" i="2" s="1"/>
  <c r="E248" i="2"/>
  <c r="D248" i="2"/>
  <c r="D247" i="2"/>
  <c r="E247" i="2" s="1"/>
  <c r="D246" i="2"/>
  <c r="E246" i="2" s="1"/>
  <c r="E245" i="2"/>
  <c r="D245" i="2"/>
  <c r="D244" i="2"/>
  <c r="E244" i="2" s="1"/>
  <c r="D243" i="2"/>
  <c r="E243" i="2" s="1"/>
  <c r="E242" i="2"/>
  <c r="D242" i="2"/>
  <c r="D241" i="2"/>
  <c r="E241" i="2" s="1"/>
  <c r="D240" i="2"/>
  <c r="E240" i="2" s="1"/>
  <c r="E239" i="2"/>
  <c r="D239" i="2"/>
  <c r="D238" i="2"/>
  <c r="E238" i="2" s="1"/>
  <c r="D237" i="2"/>
  <c r="E237" i="2" s="1"/>
  <c r="E236" i="2"/>
  <c r="D236" i="2"/>
  <c r="D235" i="2"/>
  <c r="E235" i="2" s="1"/>
  <c r="D234" i="2"/>
  <c r="E234" i="2" s="1"/>
  <c r="E233" i="2"/>
  <c r="D233" i="2"/>
  <c r="D232" i="2"/>
  <c r="E232" i="2" s="1"/>
  <c r="D231" i="2"/>
  <c r="E231" i="2" s="1"/>
  <c r="E230" i="2"/>
  <c r="D230" i="2"/>
  <c r="D229" i="2"/>
  <c r="E229" i="2" s="1"/>
  <c r="D228" i="2"/>
  <c r="E228" i="2" s="1"/>
  <c r="E227" i="2"/>
  <c r="D227" i="2"/>
  <c r="D226" i="2"/>
  <c r="E226" i="2" s="1"/>
  <c r="D225" i="2"/>
  <c r="E225" i="2" s="1"/>
  <c r="E224" i="2"/>
  <c r="D224" i="2"/>
  <c r="D223" i="2"/>
  <c r="E223" i="2" s="1"/>
  <c r="D222" i="2"/>
  <c r="E222" i="2" s="1"/>
  <c r="E221" i="2"/>
  <c r="D221" i="2"/>
  <c r="D220" i="2"/>
  <c r="E220" i="2" s="1"/>
  <c r="D219" i="2"/>
  <c r="E219" i="2" s="1"/>
  <c r="E218" i="2"/>
  <c r="D218" i="2"/>
  <c r="D217" i="2"/>
  <c r="E217" i="2" s="1"/>
  <c r="D216" i="2"/>
  <c r="E216" i="2" s="1"/>
  <c r="E215" i="2"/>
  <c r="D215" i="2"/>
  <c r="D214" i="2"/>
  <c r="E214" i="2" s="1"/>
  <c r="D213" i="2"/>
  <c r="E213" i="2" s="1"/>
  <c r="E212" i="2"/>
  <c r="D212" i="2"/>
  <c r="D211" i="2"/>
  <c r="E211" i="2" s="1"/>
  <c r="D210" i="2"/>
  <c r="E210" i="2" s="1"/>
  <c r="E209" i="2"/>
  <c r="D209" i="2"/>
  <c r="D208" i="2"/>
  <c r="E208" i="2" s="1"/>
  <c r="D207" i="2"/>
  <c r="E207" i="2" s="1"/>
  <c r="E206" i="2"/>
  <c r="D206" i="2"/>
  <c r="D205" i="2"/>
  <c r="E205" i="2" s="1"/>
  <c r="D204" i="2"/>
  <c r="E204" i="2" s="1"/>
  <c r="E203" i="2"/>
  <c r="D203" i="2"/>
  <c r="D202" i="2"/>
  <c r="E202" i="2" s="1"/>
  <c r="E190" i="2"/>
  <c r="D190" i="2"/>
  <c r="E189" i="2"/>
  <c r="D189" i="2"/>
  <c r="D188" i="2"/>
  <c r="E188" i="2" s="1"/>
  <c r="D187" i="2"/>
  <c r="E187" i="2" s="1"/>
  <c r="E186" i="2"/>
  <c r="D186" i="2"/>
  <c r="E185" i="2"/>
  <c r="D185" i="2"/>
  <c r="E184" i="2"/>
  <c r="D184" i="2"/>
  <c r="E183" i="2"/>
  <c r="D183" i="2"/>
  <c r="D182" i="2"/>
  <c r="E182" i="2" s="1"/>
  <c r="D181" i="2"/>
  <c r="E181" i="2" s="1"/>
  <c r="E180" i="2"/>
  <c r="D180" i="2"/>
  <c r="D179" i="2"/>
  <c r="E179" i="2" s="1"/>
  <c r="E178" i="2"/>
  <c r="D178" i="2"/>
  <c r="E177" i="2"/>
  <c r="D177" i="2"/>
  <c r="D176" i="2"/>
  <c r="E176" i="2" s="1"/>
  <c r="D175" i="2"/>
  <c r="E175" i="2" s="1"/>
  <c r="E174" i="2"/>
  <c r="D174" i="2"/>
  <c r="D173" i="2"/>
  <c r="E173" i="2" s="1"/>
  <c r="E172" i="2"/>
  <c r="D172" i="2"/>
  <c r="E171" i="2"/>
  <c r="D171" i="2"/>
  <c r="D170" i="2"/>
  <c r="E170" i="2" s="1"/>
  <c r="D169" i="2"/>
  <c r="E169" i="2" s="1"/>
  <c r="E168" i="2"/>
  <c r="D168" i="2"/>
  <c r="E167" i="2"/>
  <c r="D167" i="2"/>
  <c r="E166" i="2"/>
  <c r="D166" i="2"/>
  <c r="E165" i="2"/>
  <c r="D165" i="2"/>
  <c r="D164" i="2"/>
  <c r="E164" i="2" s="1"/>
  <c r="D163" i="2"/>
  <c r="E163" i="2" s="1"/>
  <c r="E162" i="2"/>
  <c r="D162" i="2"/>
  <c r="D161" i="2"/>
  <c r="E161" i="2" s="1"/>
  <c r="E160" i="2"/>
  <c r="D160" i="2"/>
  <c r="E159" i="2"/>
  <c r="D159" i="2"/>
  <c r="D158" i="2"/>
  <c r="E158" i="2" s="1"/>
  <c r="D157" i="2"/>
  <c r="E157" i="2" s="1"/>
  <c r="E156" i="2"/>
  <c r="D156" i="2"/>
  <c r="D155" i="2"/>
  <c r="E155" i="2" s="1"/>
  <c r="E154" i="2"/>
  <c r="D154" i="2"/>
  <c r="E153" i="2"/>
  <c r="D153" i="2"/>
  <c r="D152" i="2"/>
  <c r="E152" i="2" s="1"/>
  <c r="E151" i="2"/>
  <c r="D139" i="2"/>
  <c r="E139" i="2" s="1"/>
  <c r="E138" i="2"/>
  <c r="D138" i="2"/>
  <c r="D137" i="2"/>
  <c r="E137" i="2" s="1"/>
  <c r="D136" i="2"/>
  <c r="E136" i="2" s="1"/>
  <c r="E135" i="2"/>
  <c r="D135" i="2"/>
  <c r="D134" i="2"/>
  <c r="E134" i="2" s="1"/>
  <c r="D133" i="2"/>
  <c r="E133" i="2" s="1"/>
  <c r="E132" i="2"/>
  <c r="D132" i="2"/>
  <c r="D131" i="2"/>
  <c r="E131" i="2" s="1"/>
  <c r="D130" i="2"/>
  <c r="E130" i="2" s="1"/>
  <c r="E129" i="2"/>
  <c r="D129" i="2"/>
  <c r="D128" i="2"/>
  <c r="E128" i="2" s="1"/>
  <c r="D127" i="2"/>
  <c r="E127" i="2" s="1"/>
  <c r="E126" i="2"/>
  <c r="D126" i="2"/>
  <c r="D125" i="2"/>
  <c r="E125" i="2" s="1"/>
  <c r="D124" i="2"/>
  <c r="E124" i="2" s="1"/>
  <c r="E123" i="2"/>
  <c r="D123" i="2"/>
  <c r="D122" i="2"/>
  <c r="E122" i="2" s="1"/>
  <c r="D121" i="2"/>
  <c r="E121" i="2" s="1"/>
  <c r="E120" i="2"/>
  <c r="D120" i="2"/>
  <c r="D119" i="2"/>
  <c r="E119" i="2" s="1"/>
  <c r="D118" i="2"/>
  <c r="E118" i="2" s="1"/>
  <c r="E117" i="2"/>
  <c r="D117" i="2"/>
  <c r="D116" i="2"/>
  <c r="E116" i="2" s="1"/>
  <c r="D115" i="2"/>
  <c r="E115" i="2" s="1"/>
  <c r="E114" i="2"/>
  <c r="D114" i="2"/>
  <c r="D113" i="2"/>
  <c r="E113" i="2" s="1"/>
  <c r="D112" i="2"/>
  <c r="E112" i="2" s="1"/>
  <c r="E111" i="2"/>
  <c r="D111" i="2"/>
  <c r="E110" i="2"/>
  <c r="E99" i="2"/>
  <c r="D99" i="2"/>
  <c r="E98" i="2"/>
  <c r="D98" i="2"/>
  <c r="E97" i="2"/>
  <c r="D97" i="2"/>
  <c r="D96" i="2"/>
  <c r="E96" i="2" s="1"/>
  <c r="D95" i="2"/>
  <c r="E95" i="2" s="1"/>
  <c r="E94" i="2"/>
  <c r="D94" i="2"/>
  <c r="D93" i="2"/>
  <c r="E93" i="2" s="1"/>
  <c r="E92" i="2"/>
  <c r="D92" i="2"/>
  <c r="E91" i="2"/>
  <c r="D91" i="2"/>
  <c r="D90" i="2"/>
  <c r="E90" i="2" s="1"/>
  <c r="D89" i="2"/>
  <c r="E89" i="2" s="1"/>
  <c r="E88" i="2"/>
  <c r="D88" i="2"/>
  <c r="D87" i="2"/>
  <c r="E87" i="2" s="1"/>
  <c r="E86" i="2"/>
  <c r="D86" i="2"/>
  <c r="E85" i="2"/>
  <c r="D85" i="2"/>
  <c r="D84" i="2"/>
  <c r="E84" i="2" s="1"/>
  <c r="D83" i="2"/>
  <c r="E83" i="2" s="1"/>
  <c r="E82" i="2"/>
  <c r="D82" i="2"/>
  <c r="D81" i="2"/>
  <c r="E81" i="2" s="1"/>
  <c r="E80" i="2"/>
  <c r="E8" i="2"/>
  <c r="F8" i="2" s="1"/>
  <c r="F7" i="2"/>
  <c r="E7" i="2"/>
  <c r="F6" i="2"/>
  <c r="E6" i="2"/>
  <c r="G489" i="2" l="1"/>
  <c r="G422" i="2"/>
  <c r="G346" i="2"/>
  <c r="I103" i="3"/>
  <c r="I71" i="3"/>
  <c r="F80" i="2"/>
  <c r="G6" i="2"/>
  <c r="I59" i="5"/>
  <c r="F110" i="2"/>
  <c r="I141" i="3"/>
  <c r="H82" i="4"/>
  <c r="I82" i="4" s="1"/>
  <c r="I150" i="4"/>
  <c r="J150" i="4" s="1"/>
  <c r="I200" i="4"/>
  <c r="J200" i="4" s="1"/>
  <c r="F151" i="2"/>
  <c r="I111" i="4"/>
  <c r="J111" i="4" s="1"/>
  <c r="H6" i="3"/>
  <c r="I191" i="3"/>
  <c r="J67" i="5"/>
  <c r="K67" i="5" s="1"/>
  <c r="I146" i="5"/>
  <c r="J72" i="5"/>
  <c r="K72" i="5" s="1"/>
  <c r="I31" i="5"/>
  <c r="J77" i="5"/>
  <c r="K77" i="5" s="1"/>
  <c r="J65" i="5"/>
  <c r="K65" i="5" s="1"/>
  <c r="J86" i="5"/>
  <c r="K86" i="5" s="1"/>
  <c r="J74" i="5"/>
  <c r="K74" i="5" s="1"/>
  <c r="J62" i="5"/>
  <c r="K62" i="5" s="1"/>
  <c r="J81" i="5"/>
  <c r="K81" i="5" s="1"/>
  <c r="J69" i="5"/>
  <c r="K69" i="5" s="1"/>
  <c r="J88" i="5"/>
  <c r="K88" i="5" s="1"/>
  <c r="J76" i="5"/>
  <c r="K76" i="5" s="1"/>
  <c r="J64" i="5"/>
  <c r="K64" i="5" s="1"/>
  <c r="J83" i="5"/>
  <c r="K83" i="5" s="1"/>
  <c r="J71" i="5"/>
  <c r="K71" i="5" s="1"/>
  <c r="J78" i="5"/>
  <c r="K78" i="5" s="1"/>
  <c r="J66" i="5"/>
  <c r="K66" i="5" s="1"/>
  <c r="J80" i="5"/>
  <c r="K80" i="5" s="1"/>
  <c r="J68" i="5"/>
  <c r="K68" i="5" s="1"/>
  <c r="J59" i="5"/>
  <c r="K59" i="5" s="1"/>
  <c r="J87" i="5"/>
  <c r="K87" i="5" s="1"/>
  <c r="J75" i="5"/>
  <c r="K75" i="5" s="1"/>
  <c r="J63" i="5"/>
  <c r="K63" i="5" s="1"/>
  <c r="J73" i="5"/>
  <c r="K73" i="5" s="1"/>
  <c r="J79" i="5"/>
  <c r="K79" i="5" s="1"/>
  <c r="I96" i="5"/>
  <c r="J84" i="5"/>
  <c r="K84" i="5" s="1"/>
  <c r="J60" i="5"/>
  <c r="K60" i="5" s="1"/>
  <c r="J70" i="5"/>
  <c r="K70" i="5" s="1"/>
  <c r="J85" i="5"/>
  <c r="K85" i="5" s="1"/>
  <c r="J61" i="5"/>
  <c r="K61" i="5" s="1"/>
  <c r="J100" i="5"/>
  <c r="K100" i="5" s="1"/>
  <c r="J112" i="5"/>
  <c r="K112" i="5" s="1"/>
  <c r="J124" i="5"/>
  <c r="K124" i="5" s="1"/>
  <c r="J157" i="5"/>
  <c r="K157" i="5" s="1"/>
  <c r="J169" i="5"/>
  <c r="K169" i="5" s="1"/>
  <c r="J181" i="5"/>
  <c r="K181" i="5" s="1"/>
  <c r="J193" i="5"/>
  <c r="K193" i="5" s="1"/>
  <c r="J32" i="5"/>
  <c r="K32" i="5" s="1"/>
  <c r="J44" i="5"/>
  <c r="K44" i="5" s="1"/>
  <c r="J96" i="5"/>
  <c r="K96" i="5" s="1"/>
  <c r="J105" i="5"/>
  <c r="K105" i="5" s="1"/>
  <c r="J117" i="5"/>
  <c r="K117" i="5" s="1"/>
  <c r="J129" i="5"/>
  <c r="K129" i="5" s="1"/>
  <c r="J150" i="5"/>
  <c r="K150" i="5" s="1"/>
  <c r="J162" i="5"/>
  <c r="K162" i="5" s="1"/>
  <c r="J174" i="5"/>
  <c r="K174" i="5" s="1"/>
  <c r="J186" i="5"/>
  <c r="K186" i="5" s="1"/>
  <c r="J37" i="5"/>
  <c r="K37" i="5" s="1"/>
  <c r="J49" i="5"/>
  <c r="K49" i="5" s="1"/>
  <c r="J98" i="5"/>
  <c r="K98" i="5" s="1"/>
  <c r="J110" i="5"/>
  <c r="K110" i="5" s="1"/>
  <c r="J122" i="5"/>
  <c r="K122" i="5" s="1"/>
  <c r="J134" i="5"/>
  <c r="K134" i="5" s="1"/>
  <c r="J146" i="5"/>
  <c r="K146" i="5" s="1"/>
  <c r="J155" i="5"/>
  <c r="K155" i="5" s="1"/>
  <c r="J167" i="5"/>
  <c r="K167" i="5" s="1"/>
  <c r="J179" i="5"/>
  <c r="K179" i="5" s="1"/>
  <c r="J191" i="5"/>
  <c r="K191" i="5" s="1"/>
  <c r="J103" i="5"/>
  <c r="K103" i="5" s="1"/>
  <c r="J115" i="5"/>
  <c r="K115" i="5" s="1"/>
  <c r="J127" i="5"/>
  <c r="K127" i="5" s="1"/>
  <c r="J148" i="5"/>
  <c r="K148" i="5" s="1"/>
  <c r="J160" i="5"/>
  <c r="K160" i="5" s="1"/>
  <c r="J172" i="5"/>
  <c r="K172" i="5" s="1"/>
  <c r="J184" i="5"/>
  <c r="K184" i="5" s="1"/>
  <c r="J35" i="5"/>
  <c r="K35" i="5" s="1"/>
  <c r="J47" i="5"/>
  <c r="K47" i="5" s="1"/>
  <c r="J108" i="5"/>
  <c r="K108" i="5" s="1"/>
  <c r="J120" i="5"/>
  <c r="K120" i="5" s="1"/>
  <c r="J132" i="5"/>
  <c r="K132" i="5" s="1"/>
  <c r="J153" i="5"/>
  <c r="K153" i="5" s="1"/>
  <c r="J165" i="5"/>
  <c r="K165" i="5" s="1"/>
  <c r="J177" i="5"/>
  <c r="K177" i="5" s="1"/>
  <c r="J189" i="5"/>
  <c r="K189" i="5" s="1"/>
  <c r="J31" i="5"/>
  <c r="K31" i="5" s="1"/>
  <c r="J40" i="5"/>
  <c r="K40" i="5" s="1"/>
  <c r="J101" i="5"/>
  <c r="K101" i="5" s="1"/>
  <c r="J113" i="5"/>
  <c r="K113" i="5" s="1"/>
  <c r="J125" i="5"/>
  <c r="K125" i="5" s="1"/>
  <c r="J158" i="5"/>
  <c r="K158" i="5" s="1"/>
  <c r="J170" i="5"/>
  <c r="K170" i="5" s="1"/>
  <c r="J182" i="5"/>
  <c r="K182" i="5" s="1"/>
  <c r="J194" i="5"/>
  <c r="K194" i="5" s="1"/>
  <c r="J33" i="5"/>
  <c r="K33" i="5" s="1"/>
  <c r="J45" i="5"/>
  <c r="K45" i="5" s="1"/>
  <c r="J106" i="5"/>
  <c r="K106" i="5" s="1"/>
  <c r="J118" i="5"/>
  <c r="K118" i="5" s="1"/>
  <c r="J130" i="5"/>
  <c r="K130" i="5" s="1"/>
  <c r="J151" i="5"/>
  <c r="K151" i="5" s="1"/>
  <c r="J163" i="5"/>
  <c r="K163" i="5" s="1"/>
  <c r="J175" i="5"/>
  <c r="K175" i="5" s="1"/>
  <c r="J187" i="5"/>
  <c r="K187" i="5" s="1"/>
  <c r="J38" i="5"/>
  <c r="K38" i="5" s="1"/>
  <c r="J50" i="5"/>
  <c r="K50" i="5" s="1"/>
  <c r="J99" i="5"/>
  <c r="K99" i="5" s="1"/>
  <c r="J111" i="5"/>
  <c r="K111" i="5" s="1"/>
  <c r="J123" i="5"/>
  <c r="K123" i="5" s="1"/>
  <c r="J135" i="5"/>
  <c r="K135" i="5" s="1"/>
  <c r="J156" i="5"/>
  <c r="K156" i="5" s="1"/>
  <c r="J168" i="5"/>
  <c r="K168" i="5" s="1"/>
  <c r="J180" i="5"/>
  <c r="K180" i="5" s="1"/>
  <c r="J192" i="5"/>
  <c r="K192" i="5" s="1"/>
  <c r="J43" i="5"/>
  <c r="K43" i="5" s="1"/>
  <c r="J104" i="5"/>
  <c r="K104" i="5" s="1"/>
  <c r="J116" i="5"/>
  <c r="K116" i="5" s="1"/>
  <c r="J128" i="5"/>
  <c r="K128" i="5" s="1"/>
  <c r="J149" i="5"/>
  <c r="K149" i="5" s="1"/>
  <c r="J161" i="5"/>
  <c r="K161" i="5" s="1"/>
  <c r="J173" i="5"/>
  <c r="K173" i="5" s="1"/>
  <c r="J185" i="5"/>
  <c r="K185" i="5" s="1"/>
  <c r="J97" i="5"/>
  <c r="K97" i="5" s="1"/>
  <c r="J109" i="5"/>
  <c r="K109" i="5" s="1"/>
  <c r="J121" i="5"/>
  <c r="K121" i="5" s="1"/>
  <c r="J133" i="5"/>
  <c r="K133" i="5" s="1"/>
  <c r="J154" i="5"/>
  <c r="K154" i="5" s="1"/>
  <c r="J166" i="5"/>
  <c r="K166" i="5" s="1"/>
  <c r="J178" i="5"/>
  <c r="K178" i="5" s="1"/>
  <c r="J190" i="5"/>
  <c r="K190" i="5" s="1"/>
  <c r="J147" i="5"/>
  <c r="K147" i="5" s="1"/>
  <c r="J159" i="5"/>
  <c r="K159" i="5" s="1"/>
  <c r="J171" i="5"/>
  <c r="K171" i="5" s="1"/>
  <c r="J183" i="5"/>
  <c r="K183" i="5" s="1"/>
  <c r="J195" i="5"/>
  <c r="K195" i="5" s="1"/>
  <c r="J34" i="5"/>
  <c r="K34" i="5" s="1"/>
  <c r="J107" i="5"/>
  <c r="K107" i="5" s="1"/>
  <c r="J119" i="5"/>
  <c r="K119" i="5" s="1"/>
  <c r="J152" i="5"/>
  <c r="K152" i="5" s="1"/>
  <c r="J164" i="5"/>
  <c r="K164" i="5" s="1"/>
  <c r="J176" i="5"/>
  <c r="K176" i="5" s="1"/>
  <c r="L59" i="5" l="1"/>
  <c r="L31" i="5"/>
  <c r="M31" i="5"/>
  <c r="N31" i="5" s="1"/>
  <c r="M59" i="5"/>
  <c r="N59" i="5" s="1"/>
  <c r="L146" i="5"/>
  <c r="M146" i="5" s="1"/>
  <c r="N146" i="5" s="1"/>
  <c r="L96" i="5"/>
  <c r="M96" i="5" s="1"/>
  <c r="N96" i="5" s="1"/>
</calcChain>
</file>

<file path=xl/sharedStrings.xml><?xml version="1.0" encoding="utf-8"?>
<sst xmlns="http://schemas.openxmlformats.org/spreadsheetml/2006/main" count="359" uniqueCount="147">
  <si>
    <t>Sample</t>
  </si>
  <si>
    <t>Rainfall (mm)</t>
  </si>
  <si>
    <t>Temperature (°C)</t>
  </si>
  <si>
    <t>Yield (tons/acre)</t>
  </si>
  <si>
    <t>Train/Test</t>
  </si>
  <si>
    <t>Train</t>
  </si>
  <si>
    <t>Validation</t>
  </si>
  <si>
    <t>SAMPLE</t>
  </si>
  <si>
    <t>Rainfall_mm</t>
  </si>
  <si>
    <t>Temperature_C</t>
  </si>
  <si>
    <t>Yield_t_per_ha</t>
  </si>
  <si>
    <t>y ̂ = 0.002 (Rainfall)-0.05(Temperature)+1.5</t>
  </si>
  <si>
    <t>Actual</t>
  </si>
  <si>
    <t>Predicted</t>
  </si>
  <si>
    <t>Predicted (Absolute Values)</t>
  </si>
  <si>
    <t>MAE</t>
  </si>
  <si>
    <t>On average, prediction error is 1.75 tons/acre</t>
  </si>
  <si>
    <t>How well the model generalizes to new data”</t>
  </si>
  <si>
    <t>Yes, MAE changes depending on the samples used for training and testing because the regression model parameters are learned using training samples and evaluated using different unseen samples. Training MAE measures goodness of fit, while testing MAE measures generalization performance. Since the data subsets differ, the errors computed will also differ.</t>
  </si>
  <si>
    <t>📌 Overfitting Case</t>
  </si>
  <si>
    <t>If:</t>
  </si>
  <si>
    <t>Training MAE = 0.1</t>
  </si>
  <si>
    <t>Intuition</t>
  </si>
  <si>
    <t>Test MAE = 1.8</t>
  </si>
  <si>
    <t>If you compute MAE on training samples:</t>
  </si>
  <si>
    <t>Say this:</t>
  </si>
  <si>
    <t>Then:</t>
  </si>
  <si>
    <t>You are measuring:</t>
  </si>
  <si>
    <t>“MAE is not a property of the model alone.</t>
  </si>
  <si>
    <t>Model memorized training data</t>
  </si>
  <si>
    <r>
      <rPr>
        <sz val="11"/>
        <color theme="1"/>
        <rFont val="Aptos Narrow"/>
      </rPr>
      <t xml:space="preserve">It is a property of the model </t>
    </r>
    <r>
      <rPr>
        <b/>
        <sz val="11"/>
        <color theme="1"/>
        <rFont val="Aptos Narrow"/>
      </rPr>
      <t>on a particular dataset</t>
    </r>
    <r>
      <rPr>
        <sz val="11"/>
        <color theme="1"/>
        <rFont val="Aptos Narrow"/>
      </rPr>
      <t>.”</t>
    </r>
  </si>
  <si>
    <t>Fails on unseen data</t>
  </si>
  <si>
    <t>“How well the model memorized the data”</t>
  </si>
  <si>
    <t>Not:</t>
  </si>
  <si>
    <t>📌 Underfitting Case</t>
  </si>
  <si>
    <t>“How well the model predicts new data”</t>
  </si>
  <si>
    <t>Training MAE = 2.0</t>
  </si>
  <si>
    <t>Test MAE = 2.1</t>
  </si>
  <si>
    <t>Model too simple</t>
  </si>
  <si>
    <t>Bad everywhere</t>
  </si>
  <si>
    <t>📌 Ideal Case</t>
  </si>
  <si>
    <t>Training MAE ≈ Test MAE ≈ small</t>
  </si>
  <si>
    <t>Good generalization</t>
  </si>
  <si>
    <t>Y= 19.1765 + 0.04017*A80 - 1.17406*B80</t>
  </si>
  <si>
    <t>FOR 80 SAMPLES</t>
  </si>
  <si>
    <t>rainfall</t>
  </si>
  <si>
    <t>temperature</t>
  </si>
  <si>
    <t>actual yield</t>
  </si>
  <si>
    <t>predicted yield</t>
  </si>
  <si>
    <t>Y=18.8663+0.04028*A110-1.16849*B110</t>
  </si>
  <si>
    <t>FOR 70 SAMPLES</t>
  </si>
  <si>
    <t>RAINFALL</t>
  </si>
  <si>
    <t>TEMPERATURE</t>
  </si>
  <si>
    <t>ACTUAL YIELD</t>
  </si>
  <si>
    <t>PREDICTED YIELD</t>
  </si>
  <si>
    <t>PREDICTED (ABSOLUTE VALUES)</t>
  </si>
  <si>
    <t>Y=18.6947+0.04119*A151-1.19176*B151</t>
  </si>
  <si>
    <t>FOR 60 SAMPLES</t>
  </si>
  <si>
    <t>Actual yield</t>
  </si>
  <si>
    <t>Y=18.4326+0.04198*A201-1.20537*B201</t>
  </si>
  <si>
    <t>FOR 50 SAMPLES</t>
  </si>
  <si>
    <t>MSE</t>
  </si>
  <si>
    <t>MSE squares the errors, so it penalizes large errors more than MAE.</t>
  </si>
  <si>
    <t>MAE:</t>
  </si>
  <si>
    <t>What does minimizing them imply?</t>
  </si>
  <si>
    <t>Linear penalty</t>
  </si>
  <si>
    <t>This is an important theoretical inference:</t>
  </si>
  <si>
    <t>Each error contributes proportionally</t>
  </si>
  <si>
    <t>Minimizing MAE ⇒ model predicts median</t>
  </si>
  <si>
    <r>
      <rPr>
        <sz val="11"/>
        <color theme="1"/>
        <rFont val="Aptos Narrow"/>
      </rPr>
      <t xml:space="preserve">Outliers affect it </t>
    </r>
    <r>
      <rPr>
        <b/>
        <sz val="11"/>
        <color theme="1"/>
        <rFont val="Aptos Narrow"/>
      </rPr>
      <t>less</t>
    </r>
  </si>
  <si>
    <t>If you minimize MAE, the optimal prediction tends toward:</t>
  </si>
  <si>
    <t>MSE:</t>
  </si>
  <si>
    <t>conditional median of y\text{conditional median of } yconditional median of y</t>
  </si>
  <si>
    <t>Quadratic penalty</t>
  </si>
  <si>
    <t>Minimizing MSE ⇒ model predicts mean</t>
  </si>
  <si>
    <t>Big errors dominate</t>
  </si>
  <si>
    <t>If you minimize MSE, the optimal prediction tends toward:</t>
  </si>
  <si>
    <t>Highly sensitive to outliers</t>
  </si>
  <si>
    <t>conditional mean of y\text{conditional mean of } yconditional mean of y</t>
  </si>
  <si>
    <t>So yes:</t>
  </si>
  <si>
    <t>So:</t>
  </si>
  <si>
    <t>MSE “cares more” about large mistakes.</t>
  </si>
  <si>
    <t>MAE → median-based</t>
  </si>
  <si>
    <t>MSE → mean-based</t>
  </si>
  <si>
    <t>predicted absolute value</t>
  </si>
  <si>
    <t>PREDICTED ABSOLUTE VALUE</t>
  </si>
  <si>
    <t>RMSE</t>
  </si>
  <si>
    <t>Penalty behavior (core difference)</t>
  </si>
  <si>
    <t>MAE → linear penalty</t>
  </si>
  <si>
    <t>Each error contributes proportionally.</t>
  </si>
  <si>
    <t>Error</t>
  </si>
  <si>
    <t>Contribution to MAE</t>
  </si>
  <si>
    <t>RMSE → quadratic penalty</t>
  </si>
  <si>
    <t>Large errors dominate.</t>
  </si>
  <si>
    <t>Contribution inside RMSE</t>
  </si>
  <si>
    <t>1² = 1</t>
  </si>
  <si>
    <t>2² = 4</t>
  </si>
  <si>
    <t>5² = 25</t>
  </si>
  <si>
    <t>RMSE punishes large errors much more than MAE.</t>
  </si>
  <si>
    <t>2️⃣ Sensitivity to outliers</t>
  </si>
  <si>
    <t>Metric</t>
  </si>
  <si>
    <t>Effect of one big error</t>
  </si>
  <si>
    <t>Mild</t>
  </si>
  <si>
    <t>Strong</t>
  </si>
  <si>
    <t>If your model makes:</t>
  </si>
  <si>
    <t>many small mistakes + a few huge mistakes</t>
  </si>
  <si>
    <r>
      <rPr>
        <b/>
        <sz val="11"/>
        <color theme="1"/>
        <rFont val="Aptos Narrow"/>
      </rPr>
      <t>MAE</t>
    </r>
    <r>
      <rPr>
        <sz val="11"/>
        <color theme="1"/>
        <rFont val="Aptos Narrow"/>
      </rPr>
      <t xml:space="preserve"> looks okay</t>
    </r>
  </si>
  <si>
    <r>
      <rPr>
        <b/>
        <sz val="11"/>
        <color theme="1"/>
        <rFont val="Aptos Narrow"/>
      </rPr>
      <t>RMSE</t>
    </r>
    <r>
      <rPr>
        <sz val="11"/>
        <color theme="1"/>
        <rFont val="Aptos Narrow"/>
      </rPr>
      <t xml:space="preserve"> becomes large</t>
    </r>
  </si>
  <si>
    <t>So RMSE is better at revealing:</t>
  </si>
  <si>
    <t>“My model sometimes fails badly.”</t>
  </si>
  <si>
    <r>
      <rPr>
        <b/>
        <sz val="18"/>
        <color theme="1"/>
        <rFont val="Aptos Narrow"/>
      </rPr>
      <t xml:space="preserve">3️⃣ What does each metric </t>
    </r>
    <r>
      <rPr>
        <b/>
        <i/>
        <sz val="18"/>
        <color theme="1"/>
        <rFont val="Aptos Narrow"/>
      </rPr>
      <t>represent</t>
    </r>
    <r>
      <rPr>
        <b/>
        <sz val="18"/>
        <color theme="1"/>
        <rFont val="Aptos Narrow"/>
      </rPr>
      <t>?</t>
    </r>
  </si>
  <si>
    <t>MAE answers:</t>
  </si>
  <si>
    <t>“On average, how wrong am I?”</t>
  </si>
  <si>
    <t>It reflects:</t>
  </si>
  <si>
    <t>typical error size</t>
  </si>
  <si>
    <t>median-like behavior</t>
  </si>
  <si>
    <t>robustness</t>
  </si>
  <si>
    <t>Mean of Actual</t>
  </si>
  <si>
    <t>Residue</t>
  </si>
  <si>
    <t>Residual Square</t>
  </si>
  <si>
    <t xml:space="preserve">Sum of Residual SS </t>
  </si>
  <si>
    <t>Difference from mean</t>
  </si>
  <si>
    <t>Sum of Squares</t>
  </si>
  <si>
    <t>total SS</t>
  </si>
  <si>
    <t>SS(res)/SS(tot)</t>
  </si>
  <si>
    <t>R^2</t>
  </si>
  <si>
    <r>
      <rPr>
        <sz val="11"/>
        <color theme="1"/>
        <rFont val="Aptos Narrow"/>
      </rPr>
      <t xml:space="preserve">Model performs </t>
    </r>
    <r>
      <rPr>
        <b/>
        <sz val="11"/>
        <color theme="1"/>
        <rFont val="Aptos Narrow"/>
      </rPr>
      <t>much worse</t>
    </r>
    <r>
      <rPr>
        <sz val="11"/>
        <color theme="1"/>
        <rFont val="Aptos Narrow"/>
      </rPr>
      <t xml:space="preserve"> than predicting the mean</t>
    </r>
  </si>
  <si>
    <t>❌ Extremely poor regression</t>
  </si>
  <si>
    <r>
      <rPr>
        <sz val="11"/>
        <color theme="1"/>
        <rFont val="Aptos Narrow"/>
      </rPr>
      <t xml:space="preserve">❌ Explains </t>
    </r>
    <r>
      <rPr>
        <b/>
        <sz val="11"/>
        <color theme="1"/>
        <rFont val="Aptos Narrow"/>
      </rPr>
      <t>no useful variance</t>
    </r>
  </si>
  <si>
    <t>mean of actual</t>
  </si>
  <si>
    <t>RESIDUE</t>
  </si>
  <si>
    <t>RESIDUAL SQUARE</t>
  </si>
  <si>
    <t>SUM OF RESIDUAL(SS)</t>
  </si>
  <si>
    <t>DIFFERENCE FROM MEAN</t>
  </si>
  <si>
    <t>SUM OF SQUARES</t>
  </si>
  <si>
    <t>TOTAL SS</t>
  </si>
  <si>
    <t>TESTING FOR 80 SAMPLES</t>
  </si>
  <si>
    <t>COMPARISON TABLE</t>
  </si>
  <si>
    <t>FOLD</t>
  </si>
  <si>
    <t>TRAINING SAMPLES</t>
  </si>
  <si>
    <t>TESTING SAMPLES</t>
  </si>
  <si>
    <t>R2</t>
  </si>
  <si>
    <t xml:space="preserve">CROSS VALIDATION </t>
  </si>
  <si>
    <t>TESTING VALUE</t>
  </si>
  <si>
    <t>MAE(TRAINING)</t>
  </si>
  <si>
    <t>MAE(TESTING)</t>
  </si>
  <si>
    <t>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</si>
</sst>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Aptos Narrow"/>
      <scheme val="minor"/>
    </font>
    <font>
      <sz val="11"/>
      <color theme="1"/>
      <name val="Aptos Narrow"/>
      <family val="2"/>
      <scheme val="minor"/>
    </font>
    <font>
      <sz val="16"/>
      <color theme="1"/>
      <name val="Aptos Narrow"/>
    </font>
    <font>
      <b/>
      <sz val="16"/>
      <color theme="1"/>
      <name val="Aptos Narrow"/>
    </font>
    <font>
      <sz val="11"/>
      <name val="Aptos Narrow"/>
    </font>
    <font>
      <sz val="16"/>
      <color theme="1"/>
      <name val="Arial"/>
    </font>
    <font>
      <b/>
      <sz val="18"/>
      <color theme="1"/>
      <name val="Aptos Narrow"/>
    </font>
    <font>
      <b/>
      <sz val="18"/>
      <color theme="1"/>
      <name val="Arial"/>
    </font>
    <font>
      <sz val="18"/>
      <color theme="1"/>
      <name val="Aptos Narrow"/>
    </font>
    <font>
      <sz val="18"/>
      <color theme="1"/>
      <name val="Arial"/>
    </font>
    <font>
      <sz val="11"/>
      <color rgb="FF000000"/>
      <name val="Aptos Narrow"/>
    </font>
    <font>
      <b/>
      <sz val="16"/>
      <color theme="1"/>
      <name val="Times New Roman"/>
    </font>
    <font>
      <sz val="16"/>
      <color theme="1"/>
      <name val="Times New Roman"/>
    </font>
    <font>
      <sz val="11"/>
      <color theme="1"/>
      <name val="Aptos Narrow"/>
    </font>
    <font>
      <sz val="11"/>
      <color theme="1"/>
      <name val="Aptos Narrow"/>
      <scheme val="minor"/>
    </font>
    <font>
      <sz val="14"/>
      <color theme="1"/>
      <name val="Aptos Narrow"/>
    </font>
    <font>
      <b/>
      <sz val="11"/>
      <color theme="1"/>
      <name val="Aptos Narrow"/>
    </font>
    <font>
      <b/>
      <sz val="14"/>
      <color theme="1"/>
      <name val="Aptos Narrow"/>
    </font>
    <font>
      <sz val="16"/>
      <color rgb="FF000000"/>
      <name val="Times New Roman"/>
    </font>
    <font>
      <b/>
      <sz val="13"/>
      <color theme="1"/>
      <name val="Aptos Narrow"/>
    </font>
    <font>
      <b/>
      <i/>
      <sz val="18"/>
      <color theme="1"/>
      <name val="Aptos Narrow"/>
    </font>
    <font>
      <b/>
      <sz val="11"/>
      <color theme="1"/>
      <name val="Aptos Narrow"/>
      <family val="2"/>
      <scheme val="minor"/>
    </font>
    <font>
      <b/>
      <sz val="12"/>
      <color theme="1"/>
      <name val="Aptos Narrow"/>
      <family val="2"/>
    </font>
    <font>
      <sz val="12"/>
      <color theme="1"/>
      <name val="Aptos Narrow"/>
      <family val="2"/>
      <scheme val="minor"/>
    </font>
    <font>
      <sz val="12"/>
      <color theme="1"/>
      <name val="Arial"/>
      <family val="2"/>
    </font>
    <font>
      <sz val="12"/>
      <color theme="1"/>
      <name val="Aptos Narrow"/>
      <family val="2"/>
    </font>
    <font>
      <b/>
      <sz val="12"/>
      <color theme="1"/>
      <name val="Arial"/>
      <family val="2"/>
    </font>
    <font>
      <b/>
      <sz val="12"/>
      <color theme="1"/>
      <name val="Aptos Narrow"/>
      <family val="2"/>
      <scheme val="minor"/>
    </font>
  </fonts>
  <fills count="4">
    <fill>
      <patternFill patternType="none"/>
    </fill>
    <fill>
      <patternFill patternType="gray125"/>
    </fill>
    <fill>
      <patternFill patternType="solid">
        <fgColor rgb="FFFFFF00"/>
        <bgColor rgb="FFFFFF00"/>
      </patternFill>
    </fill>
    <fill>
      <patternFill patternType="solid">
        <fgColor rgb="FFC1E4F5"/>
        <bgColor rgb="FFC1E4F5"/>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s>
  <cellStyleXfs count="1">
    <xf numFmtId="0" fontId="0" fillId="0" borderId="0"/>
  </cellStyleXfs>
  <cellXfs count="68">
    <xf numFmtId="0" fontId="0" fillId="0" borderId="0" xfId="0"/>
    <xf numFmtId="0" fontId="2" fillId="0" borderId="1" xfId="0" applyFont="1" applyBorder="1" applyAlignment="1">
      <alignment horizontal="center"/>
    </xf>
    <xf numFmtId="0" fontId="2" fillId="0" borderId="0" xfId="0" applyFont="1"/>
    <xf numFmtId="0" fontId="5" fillId="0" borderId="0" xfId="0" applyFont="1"/>
    <xf numFmtId="0" fontId="6" fillId="0" borderId="0" xfId="0" applyFont="1"/>
    <xf numFmtId="0" fontId="7" fillId="0" borderId="0" xfId="0" applyFont="1"/>
    <xf numFmtId="0" fontId="8" fillId="0" borderId="0" xfId="0" applyFont="1" applyAlignment="1">
      <alignment horizontal="right"/>
    </xf>
    <xf numFmtId="0" fontId="9" fillId="0" borderId="0" xfId="0" applyFont="1" applyAlignment="1">
      <alignment horizontal="right"/>
    </xf>
    <xf numFmtId="0" fontId="8" fillId="0" borderId="0" xfId="0" applyFont="1"/>
    <xf numFmtId="0" fontId="10" fillId="0" borderId="0" xfId="0" applyFont="1"/>
    <xf numFmtId="0" fontId="11" fillId="0" borderId="1" xfId="0" applyFont="1" applyBorder="1" applyAlignment="1">
      <alignment horizontal="center"/>
    </xf>
    <xf numFmtId="0" fontId="11" fillId="2" borderId="1" xfId="0" applyFont="1" applyFill="1" applyBorder="1" applyAlignment="1">
      <alignment horizontal="center"/>
    </xf>
    <xf numFmtId="0" fontId="11" fillId="3" borderId="1" xfId="0" applyFont="1" applyFill="1" applyBorder="1" applyAlignment="1">
      <alignment horizontal="center"/>
    </xf>
    <xf numFmtId="0" fontId="12" fillId="0" borderId="1" xfId="0" applyFont="1" applyBorder="1" applyAlignment="1">
      <alignment horizontal="center"/>
    </xf>
    <xf numFmtId="0" fontId="12" fillId="0" borderId="0" xfId="0" applyFont="1"/>
    <xf numFmtId="0" fontId="12" fillId="2" borderId="1" xfId="0" applyFont="1" applyFill="1" applyBorder="1" applyAlignment="1">
      <alignment horizontal="center"/>
    </xf>
    <xf numFmtId="0" fontId="12" fillId="3" borderId="1" xfId="0" applyFont="1" applyFill="1" applyBorder="1" applyAlignment="1">
      <alignment horizontal="center"/>
    </xf>
    <xf numFmtId="0" fontId="6" fillId="0" borderId="0" xfId="0" applyFont="1" applyAlignment="1">
      <alignment vertical="center"/>
    </xf>
    <xf numFmtId="0" fontId="14" fillId="0" borderId="0" xfId="0" applyFont="1"/>
    <xf numFmtId="0" fontId="13" fillId="0" borderId="0" xfId="0" applyFont="1" applyAlignment="1">
      <alignment horizontal="left" vertical="center"/>
    </xf>
    <xf numFmtId="0" fontId="15" fillId="0" borderId="0" xfId="0" applyFont="1"/>
    <xf numFmtId="0" fontId="16" fillId="0" borderId="0" xfId="0" applyFont="1"/>
    <xf numFmtId="0" fontId="17" fillId="0" borderId="0" xfId="0" applyFont="1"/>
    <xf numFmtId="0" fontId="18" fillId="0" borderId="0" xfId="0" applyFont="1"/>
    <xf numFmtId="0" fontId="19" fillId="0" borderId="0" xfId="0" applyFont="1" applyAlignment="1">
      <alignment vertical="center"/>
    </xf>
    <xf numFmtId="0" fontId="16" fillId="0" borderId="1" xfId="0" applyFont="1" applyBorder="1" applyAlignment="1">
      <alignment horizontal="center"/>
    </xf>
    <xf numFmtId="0" fontId="16" fillId="2" borderId="1" xfId="0" applyFont="1" applyFill="1" applyBorder="1" applyAlignment="1">
      <alignment horizontal="center"/>
    </xf>
    <xf numFmtId="0" fontId="16" fillId="3" borderId="1" xfId="0" applyFont="1" applyFill="1" applyBorder="1" applyAlignment="1">
      <alignment horizontal="center"/>
    </xf>
    <xf numFmtId="0" fontId="13" fillId="0" borderId="1" xfId="0" applyFont="1" applyBorder="1" applyAlignment="1">
      <alignment horizontal="center"/>
    </xf>
    <xf numFmtId="0" fontId="16" fillId="3" borderId="14" xfId="0" applyFont="1" applyFill="1" applyBorder="1" applyAlignment="1">
      <alignment horizontal="center"/>
    </xf>
    <xf numFmtId="0" fontId="13" fillId="2" borderId="1" xfId="0" applyFont="1" applyFill="1" applyBorder="1" applyAlignment="1">
      <alignment horizontal="center"/>
    </xf>
    <xf numFmtId="0" fontId="13" fillId="3" borderId="1" xfId="0" applyFont="1" applyFill="1" applyBorder="1" applyAlignment="1">
      <alignment horizontal="center"/>
    </xf>
    <xf numFmtId="0" fontId="16" fillId="0" borderId="0" xfId="0" applyFont="1" applyAlignment="1">
      <alignment horizontal="center" vertical="center" wrapText="1"/>
    </xf>
    <xf numFmtId="0" fontId="13" fillId="0" borderId="0" xfId="0" applyFont="1" applyAlignment="1">
      <alignment vertical="center" wrapText="1"/>
    </xf>
    <xf numFmtId="0" fontId="16" fillId="0" borderId="0" xfId="0" applyFont="1" applyAlignment="1">
      <alignment horizontal="left" vertical="center"/>
    </xf>
    <xf numFmtId="0" fontId="13" fillId="0" borderId="0" xfId="0" applyFont="1"/>
    <xf numFmtId="0" fontId="13" fillId="0" borderId="1" xfId="0" applyFont="1" applyBorder="1"/>
    <xf numFmtId="0" fontId="3" fillId="2" borderId="2" xfId="0" applyFont="1" applyFill="1" applyBorder="1" applyAlignment="1">
      <alignment horizontal="center" vertical="center"/>
    </xf>
    <xf numFmtId="0" fontId="4" fillId="0" borderId="6" xfId="0" applyFont="1" applyBorder="1"/>
    <xf numFmtId="0" fontId="4" fillId="0" borderId="9" xfId="0" applyFont="1" applyBorder="1"/>
    <xf numFmtId="0" fontId="2" fillId="0" borderId="3" xfId="0" applyFont="1" applyBorder="1" applyAlignment="1">
      <alignment horizontal="center"/>
    </xf>
    <xf numFmtId="0" fontId="4" fillId="0" borderId="4" xfId="0" applyFont="1" applyBorder="1"/>
    <xf numFmtId="0" fontId="4" fillId="0" borderId="5" xfId="0" applyFont="1" applyBorder="1"/>
    <xf numFmtId="0" fontId="4" fillId="0" borderId="7" xfId="0" applyFont="1" applyBorder="1"/>
    <xf numFmtId="0" fontId="0" fillId="0" borderId="0" xfId="0"/>
    <xf numFmtId="0" fontId="4" fillId="0" borderId="8" xfId="0" applyFont="1" applyBorder="1"/>
    <xf numFmtId="0" fontId="4" fillId="0" borderId="10" xfId="0" applyFont="1" applyBorder="1"/>
    <xf numFmtId="0" fontId="4" fillId="0" borderId="11" xfId="0" applyFont="1" applyBorder="1"/>
    <xf numFmtId="0" fontId="4" fillId="0" borderId="12" xfId="0" applyFont="1" applyBorder="1"/>
    <xf numFmtId="0" fontId="4" fillId="0" borderId="13" xfId="0" applyFont="1" applyBorder="1"/>
    <xf numFmtId="0" fontId="12" fillId="0" borderId="2" xfId="0" applyFont="1" applyBorder="1" applyAlignment="1">
      <alignment horizontal="center" vertical="center"/>
    </xf>
    <xf numFmtId="0" fontId="12" fillId="0" borderId="3" xfId="0" applyFont="1" applyBorder="1" applyAlignment="1">
      <alignment horizontal="center" vertical="center" wrapText="1"/>
    </xf>
    <xf numFmtId="0" fontId="12" fillId="0" borderId="4" xfId="0" applyFont="1" applyBorder="1" applyAlignment="1">
      <alignment horizontal="center" vertical="center" wrapText="1"/>
    </xf>
    <xf numFmtId="0" fontId="13" fillId="0" borderId="0" xfId="0" applyFont="1" applyAlignment="1">
      <alignment horizontal="center" wrapText="1"/>
    </xf>
    <xf numFmtId="0" fontId="12" fillId="0" borderId="4" xfId="0" applyFont="1" applyBorder="1" applyAlignment="1">
      <alignment horizontal="center"/>
    </xf>
    <xf numFmtId="0" fontId="13" fillId="0" borderId="2" xfId="0" applyFont="1" applyBorder="1" applyAlignment="1">
      <alignment horizontal="center" vertical="center"/>
    </xf>
    <xf numFmtId="0" fontId="13" fillId="0" borderId="2" xfId="0" applyFont="1" applyBorder="1" applyAlignment="1">
      <alignment horizontal="center" vertical="center" wrapText="1"/>
    </xf>
    <xf numFmtId="0" fontId="13" fillId="0" borderId="4" xfId="0" applyFont="1" applyBorder="1" applyAlignment="1">
      <alignment horizontal="center"/>
    </xf>
    <xf numFmtId="0" fontId="22" fillId="0" borderId="0" xfId="0" applyFont="1"/>
    <xf numFmtId="0" fontId="23" fillId="0" borderId="0" xfId="0" applyFont="1"/>
    <xf numFmtId="0" fontId="24" fillId="0" borderId="0" xfId="0" applyFont="1"/>
    <xf numFmtId="0" fontId="25" fillId="0" borderId="0" xfId="0" applyFont="1"/>
    <xf numFmtId="0" fontId="26" fillId="0" borderId="0" xfId="0" applyFont="1"/>
    <xf numFmtId="0" fontId="25" fillId="0" borderId="0" xfId="0" applyFont="1" applyAlignment="1">
      <alignment horizontal="right"/>
    </xf>
    <xf numFmtId="0" fontId="24" fillId="0" borderId="0" xfId="0" applyFont="1" applyAlignment="1">
      <alignment horizontal="right"/>
    </xf>
    <xf numFmtId="0" fontId="27" fillId="0" borderId="0" xfId="0" applyFont="1"/>
    <xf numFmtId="0" fontId="21"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IN" b="0">
                <a:solidFill>
                  <a:srgbClr val="757575"/>
                </a:solidFill>
                <a:latin typeface="+mn-lt"/>
              </a:rPr>
              <a:t>Histogram of Yield_t_per_ha</a:t>
            </a:r>
          </a:p>
        </c:rich>
      </c:tx>
      <c:overlay val="0"/>
    </c:title>
    <c:autoTitleDeleted val="0"/>
    <c:plotArea>
      <c:layout/>
      <c:barChart>
        <c:barDir val="col"/>
        <c:grouping val="clustered"/>
        <c:varyColors val="1"/>
        <c:ser>
          <c:idx val="0"/>
          <c:order val="0"/>
          <c:spPr>
            <a:solidFill>
              <a:srgbClr val="156082"/>
            </a:solidFill>
            <a:ln cmpd="sng">
              <a:solidFill>
                <a:srgbClr val="000000"/>
              </a:solidFill>
            </a:ln>
          </c:spPr>
          <c:invertIfNegative val="1"/>
          <c:val>
            <c:numRef>
              <c:f>Sheet1!$C$22:$C$121</c:f>
              <c:numCache>
                <c:formatCode>General</c:formatCode>
                <c:ptCount val="100"/>
                <c:pt idx="0">
                  <c:v>24.07</c:v>
                </c:pt>
                <c:pt idx="1">
                  <c:v>31.82</c:v>
                </c:pt>
                <c:pt idx="2">
                  <c:v>25.27</c:v>
                </c:pt>
                <c:pt idx="3">
                  <c:v>28.2</c:v>
                </c:pt>
                <c:pt idx="4">
                  <c:v>30.38</c:v>
                </c:pt>
                <c:pt idx="5">
                  <c:v>31.96</c:v>
                </c:pt>
                <c:pt idx="6">
                  <c:v>30.93</c:v>
                </c:pt>
                <c:pt idx="7">
                  <c:v>18.12</c:v>
                </c:pt>
                <c:pt idx="8">
                  <c:v>25.14</c:v>
                </c:pt>
                <c:pt idx="9">
                  <c:v>25.87</c:v>
                </c:pt>
                <c:pt idx="10">
                  <c:v>18.940000000000001</c:v>
                </c:pt>
                <c:pt idx="11">
                  <c:v>27.2</c:v>
                </c:pt>
                <c:pt idx="12">
                  <c:v>28.33</c:v>
                </c:pt>
                <c:pt idx="13">
                  <c:v>32.08</c:v>
                </c:pt>
                <c:pt idx="14">
                  <c:v>34.01</c:v>
                </c:pt>
                <c:pt idx="15">
                  <c:v>20.18</c:v>
                </c:pt>
                <c:pt idx="16">
                  <c:v>21.92</c:v>
                </c:pt>
                <c:pt idx="17">
                  <c:v>29.21</c:v>
                </c:pt>
                <c:pt idx="18">
                  <c:v>20.25</c:v>
                </c:pt>
                <c:pt idx="19">
                  <c:v>21.81</c:v>
                </c:pt>
                <c:pt idx="20">
                  <c:v>27.77</c:v>
                </c:pt>
                <c:pt idx="21">
                  <c:v>20.88</c:v>
                </c:pt>
                <c:pt idx="22">
                  <c:v>31.3</c:v>
                </c:pt>
                <c:pt idx="23">
                  <c:v>32.57</c:v>
                </c:pt>
                <c:pt idx="24">
                  <c:v>18.57</c:v>
                </c:pt>
                <c:pt idx="25">
                  <c:v>27.05</c:v>
                </c:pt>
                <c:pt idx="26">
                  <c:v>31.55</c:v>
                </c:pt>
                <c:pt idx="27">
                  <c:v>34.58</c:v>
                </c:pt>
                <c:pt idx="28">
                  <c:v>22.66</c:v>
                </c:pt>
                <c:pt idx="29">
                  <c:v>20.87</c:v>
                </c:pt>
                <c:pt idx="30">
                  <c:v>32.9</c:v>
                </c:pt>
                <c:pt idx="31">
                  <c:v>33.46</c:v>
                </c:pt>
                <c:pt idx="32">
                  <c:v>21.36</c:v>
                </c:pt>
                <c:pt idx="33">
                  <c:v>25.51</c:v>
                </c:pt>
                <c:pt idx="34">
                  <c:v>30.23</c:v>
                </c:pt>
                <c:pt idx="35">
                  <c:v>32.369999999999997</c:v>
                </c:pt>
                <c:pt idx="36">
                  <c:v>20.86</c:v>
                </c:pt>
                <c:pt idx="37">
                  <c:v>29.3</c:v>
                </c:pt>
                <c:pt idx="38">
                  <c:v>31.73</c:v>
                </c:pt>
                <c:pt idx="39">
                  <c:v>27.35</c:v>
                </c:pt>
                <c:pt idx="40">
                  <c:v>20.8</c:v>
                </c:pt>
                <c:pt idx="41">
                  <c:v>18.600000000000001</c:v>
                </c:pt>
                <c:pt idx="42">
                  <c:v>22.79</c:v>
                </c:pt>
                <c:pt idx="43">
                  <c:v>31.73</c:v>
                </c:pt>
                <c:pt idx="44">
                  <c:v>18.760000000000002</c:v>
                </c:pt>
                <c:pt idx="45">
                  <c:v>18.14</c:v>
                </c:pt>
                <c:pt idx="46">
                  <c:v>24.15</c:v>
                </c:pt>
                <c:pt idx="47">
                  <c:v>19.079999999999998</c:v>
                </c:pt>
                <c:pt idx="48">
                  <c:v>20.54</c:v>
                </c:pt>
                <c:pt idx="49">
                  <c:v>18.39</c:v>
                </c:pt>
                <c:pt idx="50">
                  <c:v>26.92</c:v>
                </c:pt>
                <c:pt idx="51">
                  <c:v>29.84</c:v>
                </c:pt>
                <c:pt idx="52">
                  <c:v>25.26</c:v>
                </c:pt>
                <c:pt idx="53">
                  <c:v>20.29</c:v>
                </c:pt>
                <c:pt idx="54">
                  <c:v>23.63</c:v>
                </c:pt>
                <c:pt idx="55">
                  <c:v>28.04</c:v>
                </c:pt>
                <c:pt idx="56">
                  <c:v>33.99</c:v>
                </c:pt>
                <c:pt idx="57">
                  <c:v>34.869999999999997</c:v>
                </c:pt>
                <c:pt idx="58">
                  <c:v>22.11</c:v>
                </c:pt>
                <c:pt idx="59">
                  <c:v>18.18</c:v>
                </c:pt>
                <c:pt idx="60">
                  <c:v>32.119999999999997</c:v>
                </c:pt>
                <c:pt idx="61">
                  <c:v>33.75</c:v>
                </c:pt>
                <c:pt idx="62">
                  <c:v>25.8</c:v>
                </c:pt>
                <c:pt idx="63">
                  <c:v>31.11</c:v>
                </c:pt>
                <c:pt idx="64">
                  <c:v>32.729999999999997</c:v>
                </c:pt>
                <c:pt idx="65">
                  <c:v>28.36</c:v>
                </c:pt>
                <c:pt idx="66">
                  <c:v>32.83</c:v>
                </c:pt>
                <c:pt idx="67">
                  <c:v>18.41</c:v>
                </c:pt>
                <c:pt idx="68">
                  <c:v>22.62</c:v>
                </c:pt>
                <c:pt idx="69">
                  <c:v>22.71</c:v>
                </c:pt>
                <c:pt idx="70">
                  <c:v>20.05</c:v>
                </c:pt>
                <c:pt idx="71">
                  <c:v>33.479999999999997</c:v>
                </c:pt>
                <c:pt idx="72">
                  <c:v>18.52</c:v>
                </c:pt>
                <c:pt idx="73">
                  <c:v>29.43</c:v>
                </c:pt>
                <c:pt idx="74">
                  <c:v>19.21</c:v>
                </c:pt>
                <c:pt idx="75">
                  <c:v>24.13</c:v>
                </c:pt>
                <c:pt idx="76">
                  <c:v>25.11</c:v>
                </c:pt>
                <c:pt idx="77">
                  <c:v>21.08</c:v>
                </c:pt>
                <c:pt idx="78">
                  <c:v>26.86</c:v>
                </c:pt>
                <c:pt idx="79">
                  <c:v>27.09</c:v>
                </c:pt>
                <c:pt idx="80">
                  <c:v>23.39</c:v>
                </c:pt>
                <c:pt idx="81">
                  <c:v>30.53</c:v>
                </c:pt>
                <c:pt idx="82">
                  <c:v>20.72</c:v>
                </c:pt>
                <c:pt idx="83">
                  <c:v>21.27</c:v>
                </c:pt>
                <c:pt idx="84">
                  <c:v>24.03</c:v>
                </c:pt>
                <c:pt idx="85">
                  <c:v>24.43</c:v>
                </c:pt>
                <c:pt idx="86">
                  <c:v>21.51</c:v>
                </c:pt>
                <c:pt idx="87">
                  <c:v>33.619999999999997</c:v>
                </c:pt>
                <c:pt idx="88">
                  <c:v>32.08</c:v>
                </c:pt>
                <c:pt idx="89">
                  <c:v>19.82</c:v>
                </c:pt>
                <c:pt idx="90">
                  <c:v>24.28</c:v>
                </c:pt>
                <c:pt idx="91">
                  <c:v>21.96</c:v>
                </c:pt>
                <c:pt idx="92">
                  <c:v>25.67</c:v>
                </c:pt>
                <c:pt idx="93">
                  <c:v>22.7</c:v>
                </c:pt>
                <c:pt idx="94">
                  <c:v>26.53</c:v>
                </c:pt>
                <c:pt idx="95">
                  <c:v>33.68</c:v>
                </c:pt>
                <c:pt idx="96">
                  <c:v>24.5</c:v>
                </c:pt>
                <c:pt idx="97">
                  <c:v>29.05</c:v>
                </c:pt>
                <c:pt idx="98">
                  <c:v>28.13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40E-45DF-A0B0-55C35622F1C9}"/>
            </c:ext>
          </c:extLst>
        </c:ser>
        <c:dLbls>
          <c:showLegendKey val="0"/>
          <c:showVal val="0"/>
          <c:showCatName val="0"/>
          <c:showSerName val="0"/>
          <c:showPercent val="0"/>
          <c:showBubbleSize val="0"/>
        </c:dLbls>
        <c:gapWidth val="150"/>
        <c:axId val="66050704"/>
        <c:axId val="1741303029"/>
      </c:barChart>
      <c:catAx>
        <c:axId val="66050704"/>
        <c:scaling>
          <c:orientation val="minMax"/>
        </c:scaling>
        <c:delete val="0"/>
        <c:axPos val="b"/>
        <c:title>
          <c:tx>
            <c:rich>
              <a:bodyPr/>
              <a:lstStyle/>
              <a:p>
                <a:pPr lvl="0">
                  <a:defRPr b="0">
                    <a:solidFill>
                      <a:srgbClr val="000000"/>
                    </a:solidFill>
                    <a:latin typeface="+mn-lt"/>
                  </a:defRPr>
                </a:pPr>
                <a:r>
                  <a:rPr lang="en-IN" b="0">
                    <a:solidFill>
                      <a:srgbClr val="000000"/>
                    </a:solidFill>
                    <a:latin typeface="+mn-lt"/>
                  </a:rPr>
                  <a:t>Yield_t_per_ha</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741303029"/>
        <c:crosses val="autoZero"/>
        <c:auto val="1"/>
        <c:lblAlgn val="ctr"/>
        <c:lblOffset val="100"/>
        <c:noMultiLvlLbl val="1"/>
      </c:catAx>
      <c:valAx>
        <c:axId val="17413030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66050704"/>
        <c:crosses val="autoZero"/>
        <c:crossBetween val="between"/>
      </c:valAx>
    </c:plotArea>
    <c:legend>
      <c:legendPos val="r"/>
      <c:overlay val="0"/>
      <c:txPr>
        <a:bodyPr/>
        <a:lstStyle/>
        <a:p>
          <a:pPr lvl="0" rt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IN" b="0">
                <a:solidFill>
                  <a:srgbClr val="757575"/>
                </a:solidFill>
                <a:latin typeface="+mn-lt"/>
              </a:rPr>
              <a:t>Histogram of Yield_t_per_ha</a:t>
            </a:r>
          </a:p>
        </c:rich>
      </c:tx>
      <c:overlay val="0"/>
    </c:title>
    <c:autoTitleDeleted val="0"/>
    <c:plotArea>
      <c:layout/>
      <c:lineChart>
        <c:grouping val="standard"/>
        <c:varyColors val="0"/>
        <c:ser>
          <c:idx val="0"/>
          <c:order val="0"/>
          <c:spPr>
            <a:ln cmpd="sng">
              <a:solidFill>
                <a:srgbClr val="156082"/>
              </a:solidFill>
            </a:ln>
          </c:spPr>
          <c:marker>
            <c:symbol val="none"/>
          </c:marker>
          <c:val>
            <c:numRef>
              <c:f>Sheet1!$C$22:$C$121</c:f>
              <c:numCache>
                <c:formatCode>General</c:formatCode>
                <c:ptCount val="100"/>
                <c:pt idx="0">
                  <c:v>24.07</c:v>
                </c:pt>
                <c:pt idx="1">
                  <c:v>31.82</c:v>
                </c:pt>
                <c:pt idx="2">
                  <c:v>25.27</c:v>
                </c:pt>
                <c:pt idx="3">
                  <c:v>28.2</c:v>
                </c:pt>
                <c:pt idx="4">
                  <c:v>30.38</c:v>
                </c:pt>
                <c:pt idx="5">
                  <c:v>31.96</c:v>
                </c:pt>
                <c:pt idx="6">
                  <c:v>30.93</c:v>
                </c:pt>
                <c:pt idx="7">
                  <c:v>18.12</c:v>
                </c:pt>
                <c:pt idx="8">
                  <c:v>25.14</c:v>
                </c:pt>
                <c:pt idx="9">
                  <c:v>25.87</c:v>
                </c:pt>
                <c:pt idx="10">
                  <c:v>18.940000000000001</c:v>
                </c:pt>
                <c:pt idx="11">
                  <c:v>27.2</c:v>
                </c:pt>
                <c:pt idx="12">
                  <c:v>28.33</c:v>
                </c:pt>
                <c:pt idx="13">
                  <c:v>32.08</c:v>
                </c:pt>
                <c:pt idx="14">
                  <c:v>34.01</c:v>
                </c:pt>
                <c:pt idx="15">
                  <c:v>20.18</c:v>
                </c:pt>
                <c:pt idx="16">
                  <c:v>21.92</c:v>
                </c:pt>
                <c:pt idx="17">
                  <c:v>29.21</c:v>
                </c:pt>
                <c:pt idx="18">
                  <c:v>20.25</c:v>
                </c:pt>
                <c:pt idx="19">
                  <c:v>21.81</c:v>
                </c:pt>
                <c:pt idx="20">
                  <c:v>27.77</c:v>
                </c:pt>
                <c:pt idx="21">
                  <c:v>20.88</c:v>
                </c:pt>
                <c:pt idx="22">
                  <c:v>31.3</c:v>
                </c:pt>
                <c:pt idx="23">
                  <c:v>32.57</c:v>
                </c:pt>
                <c:pt idx="24">
                  <c:v>18.57</c:v>
                </c:pt>
                <c:pt idx="25">
                  <c:v>27.05</c:v>
                </c:pt>
                <c:pt idx="26">
                  <c:v>31.55</c:v>
                </c:pt>
                <c:pt idx="27">
                  <c:v>34.58</c:v>
                </c:pt>
                <c:pt idx="28">
                  <c:v>22.66</c:v>
                </c:pt>
                <c:pt idx="29">
                  <c:v>20.87</c:v>
                </c:pt>
                <c:pt idx="30">
                  <c:v>32.9</c:v>
                </c:pt>
                <c:pt idx="31">
                  <c:v>33.46</c:v>
                </c:pt>
                <c:pt idx="32">
                  <c:v>21.36</c:v>
                </c:pt>
                <c:pt idx="33">
                  <c:v>25.51</c:v>
                </c:pt>
                <c:pt idx="34">
                  <c:v>30.23</c:v>
                </c:pt>
                <c:pt idx="35">
                  <c:v>32.369999999999997</c:v>
                </c:pt>
                <c:pt idx="36">
                  <c:v>20.86</c:v>
                </c:pt>
                <c:pt idx="37">
                  <c:v>29.3</c:v>
                </c:pt>
                <c:pt idx="38">
                  <c:v>31.73</c:v>
                </c:pt>
                <c:pt idx="39">
                  <c:v>27.35</c:v>
                </c:pt>
                <c:pt idx="40">
                  <c:v>20.8</c:v>
                </c:pt>
                <c:pt idx="41">
                  <c:v>18.600000000000001</c:v>
                </c:pt>
                <c:pt idx="42">
                  <c:v>22.79</c:v>
                </c:pt>
                <c:pt idx="43">
                  <c:v>31.73</c:v>
                </c:pt>
                <c:pt idx="44">
                  <c:v>18.760000000000002</c:v>
                </c:pt>
                <c:pt idx="45">
                  <c:v>18.14</c:v>
                </c:pt>
                <c:pt idx="46">
                  <c:v>24.15</c:v>
                </c:pt>
                <c:pt idx="47">
                  <c:v>19.079999999999998</c:v>
                </c:pt>
                <c:pt idx="48">
                  <c:v>20.54</c:v>
                </c:pt>
                <c:pt idx="49">
                  <c:v>18.39</c:v>
                </c:pt>
                <c:pt idx="50">
                  <c:v>26.92</c:v>
                </c:pt>
                <c:pt idx="51">
                  <c:v>29.84</c:v>
                </c:pt>
                <c:pt idx="52">
                  <c:v>25.26</c:v>
                </c:pt>
                <c:pt idx="53">
                  <c:v>20.29</c:v>
                </c:pt>
                <c:pt idx="54">
                  <c:v>23.63</c:v>
                </c:pt>
                <c:pt idx="55">
                  <c:v>28.04</c:v>
                </c:pt>
                <c:pt idx="56">
                  <c:v>33.99</c:v>
                </c:pt>
                <c:pt idx="57">
                  <c:v>34.869999999999997</c:v>
                </c:pt>
                <c:pt idx="58">
                  <c:v>22.11</c:v>
                </c:pt>
                <c:pt idx="59">
                  <c:v>18.18</c:v>
                </c:pt>
                <c:pt idx="60">
                  <c:v>32.119999999999997</c:v>
                </c:pt>
                <c:pt idx="61">
                  <c:v>33.75</c:v>
                </c:pt>
                <c:pt idx="62">
                  <c:v>25.8</c:v>
                </c:pt>
                <c:pt idx="63">
                  <c:v>31.11</c:v>
                </c:pt>
                <c:pt idx="64">
                  <c:v>32.729999999999997</c:v>
                </c:pt>
                <c:pt idx="65">
                  <c:v>28.36</c:v>
                </c:pt>
                <c:pt idx="66">
                  <c:v>32.83</c:v>
                </c:pt>
                <c:pt idx="67">
                  <c:v>18.41</c:v>
                </c:pt>
                <c:pt idx="68">
                  <c:v>22.62</c:v>
                </c:pt>
                <c:pt idx="69">
                  <c:v>22.71</c:v>
                </c:pt>
                <c:pt idx="70">
                  <c:v>20.05</c:v>
                </c:pt>
                <c:pt idx="71">
                  <c:v>33.479999999999997</c:v>
                </c:pt>
                <c:pt idx="72">
                  <c:v>18.52</c:v>
                </c:pt>
                <c:pt idx="73">
                  <c:v>29.43</c:v>
                </c:pt>
                <c:pt idx="74">
                  <c:v>19.21</c:v>
                </c:pt>
                <c:pt idx="75">
                  <c:v>24.13</c:v>
                </c:pt>
                <c:pt idx="76">
                  <c:v>25.11</c:v>
                </c:pt>
                <c:pt idx="77">
                  <c:v>21.08</c:v>
                </c:pt>
                <c:pt idx="78">
                  <c:v>26.86</c:v>
                </c:pt>
                <c:pt idx="79">
                  <c:v>27.09</c:v>
                </c:pt>
                <c:pt idx="80">
                  <c:v>23.39</c:v>
                </c:pt>
                <c:pt idx="81">
                  <c:v>30.53</c:v>
                </c:pt>
                <c:pt idx="82">
                  <c:v>20.72</c:v>
                </c:pt>
                <c:pt idx="83">
                  <c:v>21.27</c:v>
                </c:pt>
                <c:pt idx="84">
                  <c:v>24.03</c:v>
                </c:pt>
                <c:pt idx="85">
                  <c:v>24.43</c:v>
                </c:pt>
                <c:pt idx="86">
                  <c:v>21.51</c:v>
                </c:pt>
                <c:pt idx="87">
                  <c:v>33.619999999999997</c:v>
                </c:pt>
                <c:pt idx="88">
                  <c:v>32.08</c:v>
                </c:pt>
                <c:pt idx="89">
                  <c:v>19.82</c:v>
                </c:pt>
                <c:pt idx="90">
                  <c:v>24.28</c:v>
                </c:pt>
                <c:pt idx="91">
                  <c:v>21.96</c:v>
                </c:pt>
                <c:pt idx="92">
                  <c:v>25.67</c:v>
                </c:pt>
                <c:pt idx="93">
                  <c:v>22.7</c:v>
                </c:pt>
                <c:pt idx="94">
                  <c:v>26.53</c:v>
                </c:pt>
                <c:pt idx="95">
                  <c:v>33.68</c:v>
                </c:pt>
                <c:pt idx="96">
                  <c:v>24.5</c:v>
                </c:pt>
                <c:pt idx="97">
                  <c:v>29.05</c:v>
                </c:pt>
                <c:pt idx="98">
                  <c:v>28.13</c:v>
                </c:pt>
              </c:numCache>
            </c:numRef>
          </c:val>
          <c:smooth val="0"/>
          <c:extLst>
            <c:ext xmlns:c16="http://schemas.microsoft.com/office/drawing/2014/chart" uri="{C3380CC4-5D6E-409C-BE32-E72D297353CC}">
              <c16:uniqueId val="{00000000-0CCC-46FA-BBD5-17A5399C38A1}"/>
            </c:ext>
          </c:extLst>
        </c:ser>
        <c:dLbls>
          <c:showLegendKey val="0"/>
          <c:showVal val="0"/>
          <c:showCatName val="0"/>
          <c:showSerName val="0"/>
          <c:showPercent val="0"/>
          <c:showBubbleSize val="0"/>
        </c:dLbls>
        <c:smooth val="0"/>
        <c:axId val="380873774"/>
        <c:axId val="502719255"/>
      </c:lineChart>
      <c:catAx>
        <c:axId val="380873774"/>
        <c:scaling>
          <c:orientation val="minMax"/>
        </c:scaling>
        <c:delete val="0"/>
        <c:axPos val="b"/>
        <c:title>
          <c:tx>
            <c:rich>
              <a:bodyPr/>
              <a:lstStyle/>
              <a:p>
                <a:pPr lvl="0">
                  <a:defRPr b="0">
                    <a:solidFill>
                      <a:srgbClr val="000000"/>
                    </a:solidFill>
                    <a:latin typeface="+mn-lt"/>
                  </a:defRPr>
                </a:pPr>
                <a:r>
                  <a:rPr lang="en-IN" b="0">
                    <a:solidFill>
                      <a:srgbClr val="000000"/>
                    </a:solidFill>
                    <a:latin typeface="+mn-lt"/>
                  </a:rPr>
                  <a:t>Yield_t_per_ha</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502719255"/>
        <c:crosses val="autoZero"/>
        <c:auto val="1"/>
        <c:lblAlgn val="ctr"/>
        <c:lblOffset val="100"/>
        <c:noMultiLvlLbl val="1"/>
      </c:catAx>
      <c:valAx>
        <c:axId val="5027192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380873774"/>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685800</xdr:colOff>
      <xdr:row>21</xdr:row>
      <xdr:rowOff>171450</xdr:rowOff>
    </xdr:from>
    <xdr:ext cx="5715000" cy="3533775"/>
    <xdr:pic>
      <xdr:nvPicPr>
        <xdr:cNvPr id="348144194" name="Chart1" title="Chart">
          <a:extLst>
            <a:ext uri="{FF2B5EF4-FFF2-40B4-BE49-F238E27FC236}">
              <a16:creationId xmlns:a16="http://schemas.microsoft.com/office/drawing/2014/main" id="{00000000-0008-0000-0000-00004242C014}"/>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38100</xdr:colOff>
      <xdr:row>88</xdr:row>
      <xdr:rowOff>9525</xdr:rowOff>
    </xdr:from>
    <xdr:ext cx="5715000" cy="3533775"/>
    <xdr:graphicFrame macro="">
      <xdr:nvGraphicFramePr>
        <xdr:cNvPr id="1236165075" name="Chart 2" title="Chart">
          <a:extLst>
            <a:ext uri="{FF2B5EF4-FFF2-40B4-BE49-F238E27FC236}">
              <a16:creationId xmlns:a16="http://schemas.microsoft.com/office/drawing/2014/main" id="{00000000-0008-0000-0000-0000D361AE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3</xdr:col>
      <xdr:colOff>1066800</xdr:colOff>
      <xdr:row>60</xdr:row>
      <xdr:rowOff>228600</xdr:rowOff>
    </xdr:from>
    <xdr:ext cx="5715000" cy="3533775"/>
    <xdr:graphicFrame macro="">
      <xdr:nvGraphicFramePr>
        <xdr:cNvPr id="524335690" name="Chart 3" title="Chart">
          <a:extLst>
            <a:ext uri="{FF2B5EF4-FFF2-40B4-BE49-F238E27FC236}">
              <a16:creationId xmlns:a16="http://schemas.microsoft.com/office/drawing/2014/main" id="{00000000-0008-0000-0000-00004ABA40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5</xdr:col>
      <xdr:colOff>352425</xdr:colOff>
      <xdr:row>3</xdr:row>
      <xdr:rowOff>171450</xdr:rowOff>
    </xdr:from>
    <xdr:ext cx="2419350" cy="352425"/>
    <xdr:sp macro="" textlink="">
      <xdr:nvSpPr>
        <xdr:cNvPr id="3" name="Shape 3">
          <a:extLst>
            <a:ext uri="{FF2B5EF4-FFF2-40B4-BE49-F238E27FC236}">
              <a16:creationId xmlns:a16="http://schemas.microsoft.com/office/drawing/2014/main" id="{00000000-0008-0000-0000-000003000000}"/>
            </a:ext>
          </a:extLst>
        </xdr:cNvPr>
        <xdr:cNvSpPr txBox="1"/>
      </xdr:nvSpPr>
      <xdr:spPr>
        <a:xfrm>
          <a:off x="4136855" y="3607004"/>
          <a:ext cx="2418291" cy="345992"/>
        </a:xfrm>
        <a:prstGeom prst="rect">
          <a:avLst/>
        </a:prstGeom>
        <a:noFill/>
        <a:ln>
          <a:noFill/>
        </a:ln>
      </xdr:spPr>
      <xdr:txBody>
        <a:bodyPr spcFirstLastPara="1" wrap="square" lIns="0" tIns="0" rIns="0" bIns="0" anchor="t" anchorCtr="0">
          <a:spAutoFit/>
        </a:bodyPr>
        <a:lstStyle/>
        <a:p>
          <a:pPr marL="0" marR="0" lvl="0" indent="0" algn="l" rtl="0">
            <a:lnSpc>
              <a:spcPct val="100000"/>
            </a:lnSpc>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 = 0.002 (Rainfall)-0.05(Temperature)+1.5</a:t>
          </a:r>
          <a:endParaRPr sz="1400"/>
        </a:p>
        <a:p>
          <a:pPr marL="0" lvl="0" indent="0" algn="l" rtl="0">
            <a:spcBef>
              <a:spcPts val="0"/>
            </a:spcBef>
            <a:spcAft>
              <a:spcPts val="0"/>
            </a:spcAft>
            <a:buNone/>
          </a:pPr>
          <a:endParaRPr sz="11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70" zoomScale="41" workbookViewId="0">
      <selection activeCell="X92" sqref="X92"/>
    </sheetView>
  </sheetViews>
  <sheetFormatPr defaultColWidth="12.6328125" defaultRowHeight="15" customHeight="1" x14ac:dyDescent="0.35"/>
  <cols>
    <col min="1" max="1" width="16.453125" customWidth="1"/>
    <col min="2" max="2" width="19.36328125" customWidth="1"/>
    <col min="3" max="3" width="18.26953125" customWidth="1"/>
    <col min="4" max="4" width="14.26953125" customWidth="1"/>
    <col min="5" max="5" width="14.90625" customWidth="1"/>
    <col min="6" max="10" width="8.7265625" customWidth="1"/>
    <col min="11" max="26" width="8.6328125" customWidth="1"/>
  </cols>
  <sheetData>
    <row r="1" spans="1:26" ht="21" customHeight="1" x14ac:dyDescent="0.5">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spans="1:26" ht="21" customHeight="1" x14ac:dyDescent="0.5">
      <c r="A2" s="1">
        <v>1</v>
      </c>
      <c r="B2" s="1">
        <v>800</v>
      </c>
      <c r="C2" s="1">
        <v>25</v>
      </c>
      <c r="D2" s="1">
        <v>4.5</v>
      </c>
      <c r="E2" s="37" t="s">
        <v>5</v>
      </c>
      <c r="F2" s="40"/>
      <c r="G2" s="41"/>
      <c r="H2" s="41"/>
      <c r="I2" s="41"/>
      <c r="J2" s="42"/>
      <c r="K2" s="2"/>
      <c r="L2" s="2"/>
      <c r="M2" s="2"/>
      <c r="N2" s="2"/>
      <c r="O2" s="2"/>
      <c r="P2" s="2"/>
      <c r="Q2" s="2"/>
      <c r="R2" s="2"/>
      <c r="S2" s="2"/>
      <c r="T2" s="2"/>
      <c r="U2" s="2"/>
      <c r="V2" s="2"/>
      <c r="W2" s="2"/>
      <c r="X2" s="2"/>
      <c r="Y2" s="2"/>
      <c r="Z2" s="2"/>
    </row>
    <row r="3" spans="1:26" ht="21" customHeight="1" x14ac:dyDescent="0.5">
      <c r="A3" s="1">
        <v>2</v>
      </c>
      <c r="B3" s="1">
        <v>600</v>
      </c>
      <c r="C3" s="1">
        <v>30</v>
      </c>
      <c r="D3" s="1">
        <v>3.8</v>
      </c>
      <c r="E3" s="38"/>
      <c r="F3" s="43"/>
      <c r="G3" s="44"/>
      <c r="H3" s="44"/>
      <c r="I3" s="44"/>
      <c r="J3" s="45"/>
      <c r="K3" s="2"/>
      <c r="L3" s="2"/>
      <c r="M3" s="2"/>
      <c r="N3" s="2"/>
      <c r="O3" s="2"/>
      <c r="P3" s="2"/>
      <c r="Q3" s="2"/>
      <c r="R3" s="2"/>
      <c r="S3" s="2"/>
      <c r="T3" s="2"/>
      <c r="U3" s="2"/>
      <c r="V3" s="2"/>
      <c r="W3" s="2"/>
      <c r="X3" s="2"/>
      <c r="Y3" s="2"/>
      <c r="Z3" s="2"/>
    </row>
    <row r="4" spans="1:26" ht="21" customHeight="1" x14ac:dyDescent="0.5">
      <c r="A4" s="1">
        <v>3</v>
      </c>
      <c r="B4" s="1">
        <v>900</v>
      </c>
      <c r="C4" s="1">
        <v>22</v>
      </c>
      <c r="D4" s="1">
        <v>5</v>
      </c>
      <c r="E4" s="38"/>
      <c r="F4" s="43"/>
      <c r="G4" s="44"/>
      <c r="H4" s="44"/>
      <c r="I4" s="44"/>
      <c r="J4" s="45"/>
      <c r="K4" s="2"/>
      <c r="L4" s="2"/>
      <c r="M4" s="2"/>
      <c r="N4" s="2"/>
      <c r="O4" s="2"/>
      <c r="P4" s="2"/>
      <c r="Q4" s="2"/>
      <c r="R4" s="2"/>
      <c r="S4" s="2"/>
      <c r="T4" s="2"/>
      <c r="U4" s="2"/>
      <c r="V4" s="2"/>
      <c r="W4" s="2"/>
      <c r="X4" s="2"/>
      <c r="Y4" s="2"/>
      <c r="Z4" s="2"/>
    </row>
    <row r="5" spans="1:26" ht="21" customHeight="1" x14ac:dyDescent="0.5">
      <c r="A5" s="1">
        <v>4</v>
      </c>
      <c r="B5" s="1">
        <v>750</v>
      </c>
      <c r="C5" s="1">
        <v>28</v>
      </c>
      <c r="D5" s="1">
        <v>4.2</v>
      </c>
      <c r="E5" s="38"/>
      <c r="F5" s="43"/>
      <c r="G5" s="44"/>
      <c r="H5" s="44"/>
      <c r="I5" s="44"/>
      <c r="J5" s="45"/>
      <c r="K5" s="2"/>
      <c r="L5" s="2"/>
      <c r="M5" s="2"/>
      <c r="N5" s="2"/>
      <c r="O5" s="2"/>
      <c r="P5" s="2"/>
      <c r="Q5" s="2"/>
      <c r="R5" s="2"/>
      <c r="S5" s="2"/>
      <c r="T5" s="2"/>
      <c r="U5" s="2"/>
      <c r="V5" s="2"/>
      <c r="W5" s="2"/>
      <c r="X5" s="2"/>
      <c r="Y5" s="2"/>
      <c r="Z5" s="2"/>
    </row>
    <row r="6" spans="1:26" ht="21" customHeight="1" x14ac:dyDescent="0.5">
      <c r="A6" s="1">
        <v>5</v>
      </c>
      <c r="B6" s="1">
        <v>500</v>
      </c>
      <c r="C6" s="1">
        <v>32</v>
      </c>
      <c r="D6" s="1">
        <v>3.2</v>
      </c>
      <c r="E6" s="38"/>
      <c r="F6" s="43"/>
      <c r="G6" s="44"/>
      <c r="H6" s="44"/>
      <c r="I6" s="44"/>
      <c r="J6" s="45"/>
      <c r="K6" s="2"/>
      <c r="L6" s="2"/>
      <c r="M6" s="2"/>
      <c r="N6" s="2"/>
      <c r="O6" s="2"/>
      <c r="P6" s="2"/>
      <c r="Q6" s="2"/>
      <c r="R6" s="2"/>
      <c r="S6" s="2"/>
      <c r="T6" s="2"/>
      <c r="U6" s="2"/>
      <c r="V6" s="2"/>
      <c r="W6" s="2"/>
      <c r="X6" s="2"/>
      <c r="Y6" s="2"/>
      <c r="Z6" s="2"/>
    </row>
    <row r="7" spans="1:26" ht="21" customHeight="1" x14ac:dyDescent="0.5">
      <c r="A7" s="1">
        <v>6</v>
      </c>
      <c r="B7" s="1">
        <v>1000</v>
      </c>
      <c r="C7" s="1">
        <v>20</v>
      </c>
      <c r="D7" s="1">
        <v>5.5</v>
      </c>
      <c r="E7" s="38"/>
      <c r="F7" s="43"/>
      <c r="G7" s="44"/>
      <c r="H7" s="44"/>
      <c r="I7" s="44"/>
      <c r="J7" s="45"/>
      <c r="K7" s="2"/>
      <c r="L7" s="2"/>
      <c r="M7" s="2"/>
      <c r="N7" s="2"/>
      <c r="O7" s="2"/>
      <c r="P7" s="2"/>
      <c r="Q7" s="2"/>
      <c r="R7" s="2"/>
      <c r="S7" s="2"/>
      <c r="T7" s="2"/>
      <c r="U7" s="2"/>
      <c r="V7" s="2"/>
      <c r="W7" s="2"/>
      <c r="X7" s="2"/>
      <c r="Y7" s="2"/>
      <c r="Z7" s="2"/>
    </row>
    <row r="8" spans="1:26" ht="21" customHeight="1" x14ac:dyDescent="0.5">
      <c r="A8" s="1">
        <v>7</v>
      </c>
      <c r="B8" s="1">
        <v>850</v>
      </c>
      <c r="C8" s="1">
        <v>24</v>
      </c>
      <c r="D8" s="1">
        <v>4.8</v>
      </c>
      <c r="E8" s="39"/>
      <c r="F8" s="46"/>
      <c r="G8" s="47"/>
      <c r="H8" s="47"/>
      <c r="I8" s="47"/>
      <c r="J8" s="48"/>
      <c r="K8" s="2"/>
      <c r="L8" s="2"/>
      <c r="M8" s="2"/>
      <c r="N8" s="2"/>
      <c r="O8" s="2"/>
      <c r="P8" s="2"/>
      <c r="Q8" s="2"/>
      <c r="R8" s="2"/>
      <c r="S8" s="2"/>
      <c r="T8" s="2"/>
      <c r="U8" s="2"/>
      <c r="V8" s="2"/>
      <c r="W8" s="2"/>
      <c r="X8" s="2"/>
      <c r="Y8" s="2"/>
      <c r="Z8" s="2"/>
    </row>
    <row r="9" spans="1:26" ht="21" customHeight="1" x14ac:dyDescent="0.5">
      <c r="A9" s="1">
        <v>8</v>
      </c>
      <c r="B9" s="1">
        <v>650</v>
      </c>
      <c r="C9" s="1">
        <v>29</v>
      </c>
      <c r="D9" s="1">
        <v>3.9</v>
      </c>
      <c r="E9" s="37" t="s">
        <v>6</v>
      </c>
      <c r="F9" s="2"/>
      <c r="G9" s="2"/>
      <c r="H9" s="2"/>
      <c r="I9" s="2"/>
      <c r="J9" s="2"/>
      <c r="K9" s="2"/>
      <c r="L9" s="2"/>
      <c r="M9" s="2"/>
      <c r="N9" s="2"/>
      <c r="O9" s="2"/>
      <c r="P9" s="2"/>
      <c r="Q9" s="2"/>
      <c r="R9" s="2"/>
      <c r="S9" s="2"/>
      <c r="T9" s="2"/>
      <c r="U9" s="2"/>
      <c r="V9" s="2"/>
      <c r="W9" s="2"/>
      <c r="X9" s="2"/>
      <c r="Y9" s="2"/>
      <c r="Z9" s="2"/>
    </row>
    <row r="10" spans="1:26" ht="21" customHeight="1" x14ac:dyDescent="0.5">
      <c r="A10" s="1">
        <v>9</v>
      </c>
      <c r="B10" s="1">
        <v>700</v>
      </c>
      <c r="C10" s="1">
        <v>27</v>
      </c>
      <c r="D10" s="1">
        <v>4.0999999999999996</v>
      </c>
      <c r="E10" s="38"/>
      <c r="F10" s="2"/>
      <c r="G10" s="2"/>
      <c r="H10" s="2"/>
      <c r="I10" s="2"/>
      <c r="J10" s="2"/>
      <c r="K10" s="2"/>
      <c r="L10" s="2"/>
      <c r="M10" s="2"/>
      <c r="N10" s="2"/>
      <c r="O10" s="2"/>
      <c r="P10" s="2"/>
      <c r="Q10" s="2"/>
      <c r="R10" s="2"/>
      <c r="S10" s="2"/>
      <c r="T10" s="2"/>
      <c r="U10" s="2"/>
      <c r="V10" s="2"/>
      <c r="W10" s="2"/>
      <c r="X10" s="2"/>
      <c r="Y10" s="2"/>
      <c r="Z10" s="2"/>
    </row>
    <row r="11" spans="1:26" ht="21" customHeight="1" x14ac:dyDescent="0.5">
      <c r="A11" s="1">
        <v>10</v>
      </c>
      <c r="B11" s="1">
        <v>950</v>
      </c>
      <c r="C11" s="1">
        <v>21</v>
      </c>
      <c r="D11" s="1">
        <v>5.3</v>
      </c>
      <c r="E11" s="49"/>
      <c r="F11" s="2"/>
      <c r="G11" s="2"/>
      <c r="H11" s="2"/>
      <c r="I11" s="2"/>
      <c r="J11" s="2"/>
      <c r="K11" s="2"/>
      <c r="L11" s="2"/>
      <c r="M11" s="2"/>
      <c r="N11" s="2"/>
      <c r="O11" s="2"/>
      <c r="P11" s="2"/>
      <c r="Q11" s="2"/>
      <c r="R11" s="2"/>
      <c r="S11" s="2"/>
      <c r="T11" s="2"/>
      <c r="U11" s="2"/>
      <c r="V11" s="2"/>
      <c r="W11" s="2"/>
      <c r="X11" s="2"/>
      <c r="Y11" s="2"/>
      <c r="Z11" s="2"/>
    </row>
    <row r="12" spans="1:26" ht="21" customHeight="1" x14ac:dyDescent="0.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21" customHeight="1" x14ac:dyDescent="0.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21" customHeight="1" x14ac:dyDescent="0.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21" customHeight="1" x14ac:dyDescent="0.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21" customHeight="1" x14ac:dyDescent="0.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21" customHeight="1" x14ac:dyDescent="0.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21" customHeight="1" x14ac:dyDescent="0.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21" customHeight="1" x14ac:dyDescent="0.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21" customHeight="1" x14ac:dyDescent="0.55000000000000004">
      <c r="A20" s="3" t="s">
        <v>7</v>
      </c>
      <c r="B20" s="4" t="s">
        <v>8</v>
      </c>
      <c r="C20" s="4" t="s">
        <v>9</v>
      </c>
      <c r="D20" s="4" t="s">
        <v>10</v>
      </c>
      <c r="E20" s="2"/>
      <c r="F20" s="2"/>
      <c r="G20" s="2"/>
      <c r="H20" s="2"/>
      <c r="I20" s="2"/>
      <c r="J20" s="2"/>
      <c r="K20" s="2"/>
      <c r="L20" s="2"/>
      <c r="M20" s="2"/>
      <c r="N20" s="2"/>
      <c r="O20" s="2"/>
      <c r="P20" s="2"/>
      <c r="Q20" s="2"/>
      <c r="R20" s="2"/>
      <c r="S20" s="2"/>
      <c r="T20" s="2"/>
      <c r="U20" s="2"/>
      <c r="V20" s="2"/>
      <c r="W20" s="2"/>
      <c r="X20" s="2"/>
      <c r="Y20" s="2"/>
      <c r="Z20" s="2"/>
    </row>
    <row r="21" spans="1:26" ht="21" customHeight="1" x14ac:dyDescent="0.55000000000000004">
      <c r="A21" s="5">
        <v>1</v>
      </c>
      <c r="B21" s="6">
        <v>553.41999999999996</v>
      </c>
      <c r="C21" s="6">
        <v>19.18</v>
      </c>
      <c r="D21" s="7">
        <v>16.79</v>
      </c>
      <c r="E21" s="2"/>
      <c r="F21" s="2"/>
      <c r="G21" s="2"/>
      <c r="H21" s="2"/>
      <c r="I21" s="2"/>
      <c r="J21" s="2"/>
      <c r="K21" s="2"/>
      <c r="L21" s="2"/>
      <c r="M21" s="2"/>
      <c r="N21" s="2"/>
      <c r="O21" s="2"/>
      <c r="P21" s="2"/>
      <c r="Q21" s="2"/>
      <c r="R21" s="2"/>
      <c r="S21" s="2"/>
      <c r="T21" s="2"/>
      <c r="U21" s="2"/>
      <c r="V21" s="2"/>
      <c r="W21" s="2"/>
      <c r="X21" s="2"/>
      <c r="Y21" s="2"/>
      <c r="Z21" s="2"/>
    </row>
    <row r="22" spans="1:26" ht="21" customHeight="1" x14ac:dyDescent="0.55000000000000004">
      <c r="A22" s="5">
        <v>2</v>
      </c>
      <c r="B22" s="6">
        <v>1045.94</v>
      </c>
      <c r="C22" s="6">
        <v>24.07</v>
      </c>
      <c r="D22" s="6">
        <v>34.090000000000003</v>
      </c>
      <c r="E22" s="2"/>
      <c r="F22" s="2"/>
      <c r="G22" s="2"/>
      <c r="H22" s="2"/>
      <c r="I22" s="2"/>
      <c r="J22" s="2"/>
      <c r="K22" s="2"/>
      <c r="L22" s="2"/>
      <c r="M22" s="2"/>
      <c r="N22" s="2"/>
      <c r="O22" s="2"/>
      <c r="P22" s="2"/>
      <c r="Q22" s="2"/>
      <c r="R22" s="2"/>
      <c r="S22" s="2"/>
      <c r="T22" s="2"/>
      <c r="U22" s="2"/>
      <c r="V22" s="2"/>
      <c r="W22" s="2"/>
      <c r="X22" s="2"/>
      <c r="Y22" s="2"/>
      <c r="Z22" s="2"/>
    </row>
    <row r="23" spans="1:26" ht="21" customHeight="1" x14ac:dyDescent="0.55000000000000004">
      <c r="A23" s="5">
        <v>3</v>
      </c>
      <c r="B23" s="6">
        <v>806.89</v>
      </c>
      <c r="C23" s="6">
        <v>31.82</v>
      </c>
      <c r="D23" s="6">
        <v>15.9</v>
      </c>
      <c r="E23" s="2"/>
      <c r="F23" s="2"/>
      <c r="G23" s="2"/>
      <c r="H23" s="2"/>
      <c r="I23" s="2"/>
      <c r="J23" s="2"/>
      <c r="K23" s="2"/>
      <c r="L23" s="2"/>
      <c r="M23" s="2"/>
      <c r="N23" s="2"/>
      <c r="O23" s="2"/>
      <c r="P23" s="2"/>
      <c r="Q23" s="2"/>
      <c r="R23" s="2"/>
      <c r="S23" s="2"/>
      <c r="T23" s="2"/>
      <c r="U23" s="2"/>
      <c r="V23" s="2"/>
      <c r="W23" s="2"/>
      <c r="X23" s="2"/>
      <c r="Y23" s="2"/>
      <c r="Z23" s="2"/>
    </row>
    <row r="24" spans="1:26" ht="21" customHeight="1" x14ac:dyDescent="0.55000000000000004">
      <c r="A24" s="5">
        <v>4</v>
      </c>
      <c r="B24" s="6">
        <v>1006.43</v>
      </c>
      <c r="C24" s="6">
        <v>25.27</v>
      </c>
      <c r="D24" s="6">
        <v>31.4</v>
      </c>
      <c r="E24" s="2"/>
      <c r="F24" s="2"/>
      <c r="G24" s="2"/>
      <c r="H24" s="2"/>
      <c r="I24" s="2"/>
      <c r="J24" s="2"/>
      <c r="K24" s="2"/>
      <c r="L24" s="2"/>
      <c r="M24" s="2"/>
      <c r="N24" s="2"/>
      <c r="O24" s="2"/>
      <c r="P24" s="2"/>
      <c r="Q24" s="2"/>
      <c r="R24" s="2"/>
      <c r="S24" s="2"/>
      <c r="T24" s="2"/>
      <c r="U24" s="2"/>
      <c r="V24" s="2"/>
      <c r="W24" s="2"/>
      <c r="X24" s="2"/>
      <c r="Y24" s="2"/>
      <c r="Z24" s="2"/>
    </row>
    <row r="25" spans="1:26" ht="21" customHeight="1" x14ac:dyDescent="0.55000000000000004">
      <c r="A25" s="5">
        <v>5</v>
      </c>
      <c r="B25" s="6">
        <v>1184.5899999999999</v>
      </c>
      <c r="C25" s="6">
        <v>28.2</v>
      </c>
      <c r="D25" s="6">
        <v>32.15</v>
      </c>
      <c r="E25" s="2"/>
      <c r="F25" s="2"/>
      <c r="G25" s="2"/>
      <c r="H25" s="2"/>
      <c r="I25" s="2"/>
      <c r="J25" s="2"/>
      <c r="K25" s="2"/>
      <c r="L25" s="2"/>
      <c r="M25" s="2"/>
      <c r="N25" s="2"/>
      <c r="O25" s="2"/>
      <c r="P25" s="2"/>
      <c r="Q25" s="2"/>
      <c r="R25" s="2"/>
      <c r="S25" s="2"/>
      <c r="T25" s="2"/>
      <c r="U25" s="2"/>
      <c r="V25" s="2"/>
      <c r="W25" s="2"/>
      <c r="X25" s="2"/>
      <c r="Y25" s="2"/>
      <c r="Z25" s="2"/>
    </row>
    <row r="26" spans="1:26" ht="21" customHeight="1" x14ac:dyDescent="0.55000000000000004">
      <c r="A26" s="5">
        <v>6</v>
      </c>
      <c r="B26" s="6">
        <v>876.95</v>
      </c>
      <c r="C26" s="6">
        <v>30.38</v>
      </c>
      <c r="D26" s="6">
        <v>19.239999999999998</v>
      </c>
      <c r="E26" s="2"/>
      <c r="F26" s="2"/>
      <c r="G26" s="2"/>
      <c r="H26" s="2"/>
      <c r="I26" s="2"/>
      <c r="J26" s="2"/>
      <c r="K26" s="2"/>
      <c r="L26" s="2"/>
      <c r="M26" s="2"/>
      <c r="N26" s="2"/>
      <c r="O26" s="2"/>
      <c r="P26" s="2"/>
      <c r="Q26" s="2"/>
      <c r="R26" s="2"/>
      <c r="S26" s="2"/>
      <c r="T26" s="2"/>
      <c r="U26" s="2"/>
      <c r="V26" s="2"/>
      <c r="W26" s="2"/>
      <c r="X26" s="2"/>
      <c r="Y26" s="2"/>
      <c r="Z26" s="2"/>
    </row>
    <row r="27" spans="1:26" ht="21" customHeight="1" x14ac:dyDescent="0.55000000000000004">
      <c r="A27" s="5">
        <v>7</v>
      </c>
      <c r="B27" s="6">
        <v>850.78</v>
      </c>
      <c r="C27" s="6">
        <v>31.96</v>
      </c>
      <c r="D27" s="6">
        <v>18.47</v>
      </c>
      <c r="E27" s="2"/>
      <c r="F27" s="2"/>
      <c r="G27" s="2"/>
      <c r="H27" s="2"/>
      <c r="I27" s="2"/>
      <c r="J27" s="2"/>
      <c r="K27" s="2"/>
      <c r="L27" s="2"/>
      <c r="M27" s="2"/>
      <c r="N27" s="2"/>
      <c r="O27" s="2"/>
      <c r="P27" s="2"/>
      <c r="Q27" s="2"/>
      <c r="R27" s="2"/>
      <c r="S27" s="2"/>
      <c r="T27" s="2"/>
      <c r="U27" s="2"/>
      <c r="V27" s="2"/>
      <c r="W27" s="2"/>
      <c r="X27" s="2"/>
      <c r="Y27" s="2"/>
      <c r="Z27" s="2"/>
    </row>
    <row r="28" spans="1:26" ht="21" customHeight="1" x14ac:dyDescent="0.55000000000000004">
      <c r="A28" s="5">
        <v>8</v>
      </c>
      <c r="B28" s="6">
        <v>550.44000000000005</v>
      </c>
      <c r="C28" s="6">
        <v>30.93</v>
      </c>
      <c r="D28" s="6">
        <v>2.66</v>
      </c>
      <c r="E28" s="2"/>
      <c r="F28" s="2"/>
      <c r="G28" s="2"/>
      <c r="H28" s="2"/>
      <c r="I28" s="2"/>
      <c r="J28" s="2"/>
      <c r="K28" s="2"/>
      <c r="L28" s="2"/>
      <c r="M28" s="2"/>
      <c r="N28" s="2"/>
      <c r="O28" s="2"/>
      <c r="P28" s="2"/>
      <c r="Q28" s="2"/>
      <c r="R28" s="2"/>
      <c r="S28" s="2"/>
      <c r="T28" s="2"/>
      <c r="U28" s="2"/>
      <c r="V28" s="2"/>
      <c r="W28" s="2"/>
      <c r="X28" s="2"/>
      <c r="Y28" s="2"/>
      <c r="Z28" s="2"/>
    </row>
    <row r="29" spans="1:26" ht="21" customHeight="1" x14ac:dyDescent="0.55000000000000004">
      <c r="A29" s="5">
        <v>9</v>
      </c>
      <c r="B29" s="6">
        <v>687.91</v>
      </c>
      <c r="C29" s="6">
        <v>18.12</v>
      </c>
      <c r="D29" s="6">
        <v>26.49</v>
      </c>
      <c r="E29" s="2"/>
      <c r="F29" s="2"/>
      <c r="G29" s="2"/>
      <c r="H29" s="2"/>
      <c r="I29" s="2"/>
      <c r="J29" s="2"/>
      <c r="K29" s="2"/>
      <c r="L29" s="2"/>
      <c r="M29" s="2"/>
      <c r="N29" s="2"/>
      <c r="O29" s="2"/>
      <c r="P29" s="2"/>
      <c r="Q29" s="2"/>
      <c r="R29" s="2"/>
      <c r="S29" s="2"/>
      <c r="T29" s="2"/>
      <c r="U29" s="2"/>
      <c r="V29" s="2"/>
      <c r="W29" s="2"/>
      <c r="X29" s="2"/>
      <c r="Y29" s="2"/>
      <c r="Z29" s="2"/>
    </row>
    <row r="30" spans="1:26" ht="21" customHeight="1" x14ac:dyDescent="0.55000000000000004">
      <c r="A30" s="5">
        <v>10</v>
      </c>
      <c r="B30" s="6">
        <v>849.92</v>
      </c>
      <c r="C30" s="6">
        <v>25.14</v>
      </c>
      <c r="D30" s="6">
        <v>25.49</v>
      </c>
      <c r="E30" s="2"/>
      <c r="F30" s="2"/>
      <c r="G30" s="2"/>
      <c r="H30" s="2"/>
      <c r="I30" s="2"/>
      <c r="J30" s="2"/>
      <c r="K30" s="2"/>
      <c r="L30" s="2"/>
      <c r="M30" s="2"/>
      <c r="N30" s="2"/>
      <c r="O30" s="2"/>
      <c r="P30" s="2"/>
      <c r="Q30" s="2"/>
      <c r="R30" s="2"/>
      <c r="S30" s="2"/>
      <c r="T30" s="2"/>
      <c r="U30" s="2"/>
      <c r="V30" s="2"/>
      <c r="W30" s="2"/>
      <c r="X30" s="2"/>
      <c r="Y30" s="2"/>
      <c r="Z30" s="2"/>
    </row>
    <row r="31" spans="1:26" ht="21" customHeight="1" x14ac:dyDescent="0.55000000000000004">
      <c r="A31" s="5">
        <v>11</v>
      </c>
      <c r="B31" s="6">
        <v>975.46</v>
      </c>
      <c r="C31" s="6">
        <v>25.87</v>
      </c>
      <c r="D31" s="6">
        <v>26.93</v>
      </c>
      <c r="E31" s="2"/>
      <c r="F31" s="2"/>
      <c r="G31" s="2"/>
      <c r="H31" s="2"/>
      <c r="I31" s="2"/>
      <c r="J31" s="2"/>
      <c r="K31" s="2"/>
      <c r="L31" s="2"/>
      <c r="M31" s="2"/>
      <c r="N31" s="2"/>
      <c r="O31" s="2"/>
      <c r="P31" s="2"/>
      <c r="Q31" s="2"/>
      <c r="R31" s="2"/>
      <c r="S31" s="2"/>
      <c r="T31" s="2"/>
      <c r="U31" s="2"/>
      <c r="V31" s="2"/>
      <c r="W31" s="2"/>
      <c r="X31" s="2"/>
      <c r="Y31" s="2"/>
      <c r="Z31" s="2"/>
    </row>
    <row r="32" spans="1:26" ht="21" customHeight="1" x14ac:dyDescent="0.55000000000000004">
      <c r="A32" s="5">
        <v>12</v>
      </c>
      <c r="B32" s="6">
        <v>1062.6199999999999</v>
      </c>
      <c r="C32" s="6">
        <v>18.940000000000001</v>
      </c>
      <c r="D32" s="6">
        <v>40.65</v>
      </c>
      <c r="E32" s="2"/>
      <c r="F32" s="2"/>
      <c r="G32" s="2"/>
      <c r="H32" s="2"/>
      <c r="I32" s="2"/>
      <c r="J32" s="2"/>
      <c r="K32" s="2"/>
      <c r="L32" s="2"/>
      <c r="M32" s="2"/>
      <c r="N32" s="2"/>
      <c r="O32" s="2"/>
      <c r="P32" s="2"/>
      <c r="Q32" s="2"/>
      <c r="R32" s="2"/>
      <c r="S32" s="2"/>
      <c r="T32" s="2"/>
      <c r="U32" s="2"/>
      <c r="V32" s="2"/>
      <c r="W32" s="2"/>
      <c r="X32" s="2"/>
      <c r="Y32" s="2"/>
      <c r="Z32" s="2"/>
    </row>
    <row r="33" spans="1:26" ht="21" customHeight="1" x14ac:dyDescent="0.55000000000000004">
      <c r="A33" s="5">
        <v>13</v>
      </c>
      <c r="B33" s="6">
        <v>766.66</v>
      </c>
      <c r="C33" s="6">
        <v>27.2</v>
      </c>
      <c r="D33" s="6">
        <v>16.41</v>
      </c>
      <c r="E33" s="2"/>
      <c r="F33" s="2"/>
      <c r="G33" s="2"/>
      <c r="H33" s="2"/>
      <c r="I33" s="2"/>
      <c r="J33" s="2"/>
      <c r="K33" s="2"/>
      <c r="L33" s="2"/>
      <c r="M33" s="2"/>
      <c r="N33" s="2"/>
      <c r="O33" s="2"/>
      <c r="P33" s="2"/>
      <c r="Q33" s="2"/>
      <c r="R33" s="2"/>
      <c r="S33" s="2"/>
      <c r="T33" s="2"/>
      <c r="U33" s="2"/>
      <c r="V33" s="2"/>
      <c r="W33" s="2"/>
      <c r="X33" s="2"/>
      <c r="Y33" s="2"/>
      <c r="Z33" s="2"/>
    </row>
    <row r="34" spans="1:26" ht="21" customHeight="1" x14ac:dyDescent="0.55000000000000004">
      <c r="A34" s="5">
        <v>14</v>
      </c>
      <c r="B34" s="6">
        <v>546.16</v>
      </c>
      <c r="C34" s="6">
        <v>28.33</v>
      </c>
      <c r="D34" s="6">
        <v>6.63</v>
      </c>
      <c r="E34" s="2"/>
      <c r="F34" s="2"/>
      <c r="G34" s="2"/>
      <c r="H34" s="2"/>
      <c r="I34" s="2"/>
      <c r="J34" s="2"/>
      <c r="K34" s="2"/>
      <c r="L34" s="2"/>
      <c r="M34" s="2"/>
      <c r="N34" s="2"/>
      <c r="O34" s="2"/>
      <c r="P34" s="2"/>
      <c r="Q34" s="2"/>
      <c r="R34" s="2"/>
      <c r="S34" s="2"/>
      <c r="T34" s="2"/>
      <c r="U34" s="2"/>
      <c r="V34" s="2"/>
      <c r="W34" s="2"/>
      <c r="X34" s="2"/>
      <c r="Y34" s="2"/>
      <c r="Z34" s="2"/>
    </row>
    <row r="35" spans="1:26" ht="21" customHeight="1" x14ac:dyDescent="0.55000000000000004">
      <c r="A35" s="5">
        <v>15</v>
      </c>
      <c r="B35" s="6">
        <v>701.7</v>
      </c>
      <c r="C35" s="6">
        <v>32.08</v>
      </c>
      <c r="D35" s="6">
        <v>8.34</v>
      </c>
      <c r="E35" s="2"/>
      <c r="F35" s="2"/>
      <c r="G35" s="2"/>
      <c r="H35" s="2"/>
      <c r="I35" s="2"/>
      <c r="J35" s="2"/>
      <c r="K35" s="2"/>
      <c r="L35" s="2"/>
      <c r="M35" s="2"/>
      <c r="N35" s="2"/>
      <c r="O35" s="2"/>
      <c r="P35" s="2"/>
      <c r="Q35" s="2"/>
      <c r="R35" s="2"/>
      <c r="S35" s="2"/>
      <c r="T35" s="2"/>
      <c r="U35" s="2"/>
      <c r="V35" s="2"/>
      <c r="W35" s="2"/>
      <c r="X35" s="2"/>
      <c r="Y35" s="2"/>
      <c r="Z35" s="2"/>
    </row>
    <row r="36" spans="1:26" ht="21" customHeight="1" x14ac:dyDescent="0.55000000000000004">
      <c r="A36" s="5">
        <v>16</v>
      </c>
      <c r="B36" s="6">
        <v>1136.72</v>
      </c>
      <c r="C36" s="6">
        <v>34.01</v>
      </c>
      <c r="D36" s="6">
        <v>24.94</v>
      </c>
      <c r="E36" s="2"/>
      <c r="F36" s="2"/>
      <c r="G36" s="2"/>
      <c r="H36" s="2"/>
      <c r="I36" s="2"/>
      <c r="J36" s="2"/>
      <c r="K36" s="2"/>
      <c r="L36" s="2"/>
      <c r="M36" s="2"/>
      <c r="N36" s="2"/>
      <c r="O36" s="2"/>
      <c r="P36" s="2"/>
      <c r="Q36" s="2"/>
      <c r="R36" s="2"/>
      <c r="S36" s="2"/>
      <c r="T36" s="2"/>
      <c r="U36" s="2"/>
      <c r="V36" s="2"/>
      <c r="W36" s="2"/>
      <c r="X36" s="2"/>
      <c r="Y36" s="2"/>
      <c r="Z36" s="2"/>
    </row>
    <row r="37" spans="1:26" ht="21" customHeight="1" x14ac:dyDescent="0.55000000000000004">
      <c r="A37" s="5">
        <v>17</v>
      </c>
      <c r="B37" s="6">
        <v>649.37</v>
      </c>
      <c r="C37" s="6">
        <v>20.18</v>
      </c>
      <c r="D37" s="6">
        <v>21.62</v>
      </c>
      <c r="E37" s="2"/>
      <c r="F37" s="2"/>
      <c r="G37" s="2"/>
      <c r="H37" s="2"/>
      <c r="I37" s="2"/>
      <c r="J37" s="2"/>
      <c r="K37" s="2"/>
      <c r="L37" s="2"/>
      <c r="M37" s="2"/>
      <c r="N37" s="2"/>
      <c r="O37" s="2"/>
      <c r="P37" s="2"/>
      <c r="Q37" s="2"/>
      <c r="R37" s="2"/>
      <c r="S37" s="2"/>
      <c r="T37" s="2"/>
      <c r="U37" s="2"/>
      <c r="V37" s="2"/>
      <c r="W37" s="2"/>
      <c r="X37" s="2"/>
      <c r="Y37" s="2"/>
      <c r="Z37" s="2"/>
    </row>
    <row r="38" spans="1:26" ht="21" customHeight="1" x14ac:dyDescent="0.55000000000000004">
      <c r="A38" s="5">
        <v>18</v>
      </c>
      <c r="B38" s="6">
        <v>816.49</v>
      </c>
      <c r="C38" s="6">
        <v>21.92</v>
      </c>
      <c r="D38" s="6">
        <v>27.79</v>
      </c>
      <c r="E38" s="2"/>
      <c r="F38" s="2"/>
      <c r="G38" s="2"/>
      <c r="H38" s="2"/>
      <c r="I38" s="2"/>
      <c r="J38" s="2"/>
      <c r="K38" s="2"/>
      <c r="L38" s="2"/>
      <c r="M38" s="2"/>
      <c r="N38" s="2"/>
      <c r="O38" s="2"/>
      <c r="P38" s="2"/>
      <c r="Q38" s="2"/>
      <c r="R38" s="2"/>
      <c r="S38" s="2"/>
      <c r="T38" s="2"/>
      <c r="U38" s="2"/>
      <c r="V38" s="2"/>
      <c r="W38" s="2"/>
      <c r="X38" s="2"/>
      <c r="Y38" s="2"/>
      <c r="Z38" s="2"/>
    </row>
    <row r="39" spans="1:26" ht="21" customHeight="1" x14ac:dyDescent="0.55000000000000004">
      <c r="A39" s="5">
        <v>19</v>
      </c>
      <c r="B39" s="6">
        <v>1151.8399999999999</v>
      </c>
      <c r="C39" s="6">
        <v>29.21</v>
      </c>
      <c r="D39" s="6">
        <v>29.62</v>
      </c>
      <c r="E39" s="2"/>
      <c r="F39" s="2"/>
      <c r="G39" s="2"/>
      <c r="H39" s="2"/>
      <c r="I39" s="2"/>
      <c r="J39" s="2"/>
      <c r="K39" s="2"/>
      <c r="L39" s="2"/>
      <c r="M39" s="2"/>
      <c r="N39" s="2"/>
      <c r="O39" s="2"/>
      <c r="P39" s="2"/>
      <c r="Q39" s="2"/>
      <c r="R39" s="2"/>
      <c r="S39" s="2"/>
      <c r="T39" s="2"/>
      <c r="U39" s="2"/>
      <c r="V39" s="2"/>
      <c r="W39" s="2"/>
      <c r="X39" s="2"/>
      <c r="Y39" s="2"/>
      <c r="Z39" s="2"/>
    </row>
    <row r="40" spans="1:26" ht="21" customHeight="1" x14ac:dyDescent="0.55000000000000004">
      <c r="A40" s="5">
        <v>20</v>
      </c>
      <c r="B40" s="6">
        <v>517.42999999999995</v>
      </c>
      <c r="C40" s="6">
        <v>20.25</v>
      </c>
      <c r="D40" s="6">
        <v>16.2</v>
      </c>
      <c r="E40" s="2"/>
      <c r="F40" s="2"/>
      <c r="G40" s="2"/>
      <c r="H40" s="2"/>
      <c r="I40" s="2"/>
      <c r="J40" s="2"/>
      <c r="K40" s="2"/>
      <c r="L40" s="2"/>
      <c r="M40" s="2"/>
      <c r="N40" s="2"/>
      <c r="O40" s="2"/>
      <c r="P40" s="2"/>
      <c r="Q40" s="2"/>
      <c r="R40" s="2"/>
      <c r="S40" s="2"/>
      <c r="T40" s="2"/>
      <c r="U40" s="2"/>
      <c r="V40" s="2"/>
      <c r="W40" s="2"/>
      <c r="X40" s="2"/>
      <c r="Y40" s="2"/>
      <c r="Z40" s="2"/>
    </row>
    <row r="41" spans="1:26" ht="21" customHeight="1" x14ac:dyDescent="0.55000000000000004">
      <c r="A41" s="5">
        <v>21</v>
      </c>
      <c r="B41" s="6">
        <v>920.38</v>
      </c>
      <c r="C41" s="6">
        <v>21.81</v>
      </c>
      <c r="D41" s="6">
        <v>32.090000000000003</v>
      </c>
      <c r="E41" s="2"/>
      <c r="F41" s="2"/>
      <c r="G41" s="2"/>
      <c r="H41" s="2"/>
      <c r="I41" s="2"/>
      <c r="J41" s="2"/>
      <c r="K41" s="2"/>
      <c r="L41" s="2"/>
      <c r="M41" s="2"/>
      <c r="N41" s="2"/>
      <c r="O41" s="2"/>
      <c r="P41" s="2"/>
      <c r="Q41" s="2"/>
      <c r="R41" s="2"/>
      <c r="S41" s="2"/>
      <c r="T41" s="2"/>
      <c r="U41" s="2"/>
      <c r="V41" s="2"/>
      <c r="W41" s="2"/>
      <c r="X41" s="2"/>
      <c r="Y41" s="2"/>
      <c r="Z41" s="2"/>
    </row>
    <row r="42" spans="1:26" ht="21" customHeight="1" x14ac:dyDescent="0.55000000000000004">
      <c r="A42" s="5">
        <v>22</v>
      </c>
      <c r="B42" s="6">
        <v>1165.0899999999999</v>
      </c>
      <c r="C42" s="6">
        <v>27.77</v>
      </c>
      <c r="D42" s="6">
        <v>34.119999999999997</v>
      </c>
      <c r="E42" s="2"/>
      <c r="F42" s="2"/>
      <c r="G42" s="2"/>
      <c r="H42" s="2"/>
      <c r="I42" s="2"/>
      <c r="J42" s="2"/>
      <c r="K42" s="2"/>
      <c r="L42" s="2"/>
      <c r="M42" s="2"/>
      <c r="N42" s="2"/>
      <c r="O42" s="2"/>
      <c r="P42" s="2"/>
      <c r="Q42" s="2"/>
      <c r="R42" s="2"/>
      <c r="S42" s="2"/>
      <c r="T42" s="2"/>
      <c r="U42" s="2"/>
      <c r="V42" s="2"/>
      <c r="W42" s="2"/>
      <c r="X42" s="2"/>
      <c r="Y42" s="2"/>
      <c r="Z42" s="2"/>
    </row>
    <row r="43" spans="1:26" ht="21" customHeight="1" x14ac:dyDescent="0.55000000000000004">
      <c r="A43" s="5">
        <v>23</v>
      </c>
      <c r="B43" s="6">
        <v>661.21</v>
      </c>
      <c r="C43" s="6">
        <v>20.88</v>
      </c>
      <c r="D43" s="6">
        <v>19.399999999999999</v>
      </c>
      <c r="E43" s="2"/>
      <c r="F43" s="2"/>
      <c r="G43" s="2"/>
      <c r="H43" s="2"/>
      <c r="I43" s="2"/>
      <c r="J43" s="2"/>
      <c r="K43" s="2"/>
      <c r="L43" s="2"/>
      <c r="M43" s="2"/>
      <c r="N43" s="2"/>
      <c r="O43" s="2"/>
      <c r="P43" s="2"/>
      <c r="Q43" s="2"/>
      <c r="R43" s="2"/>
      <c r="S43" s="2"/>
      <c r="T43" s="2"/>
      <c r="U43" s="2"/>
      <c r="V43" s="2"/>
      <c r="W43" s="2"/>
      <c r="X43" s="2"/>
      <c r="Y43" s="2"/>
      <c r="Z43" s="2"/>
    </row>
    <row r="44" spans="1:26" ht="21" customHeight="1" x14ac:dyDescent="0.55000000000000004">
      <c r="A44" s="5">
        <v>24</v>
      </c>
      <c r="B44" s="6">
        <v>883.94</v>
      </c>
      <c r="C44" s="6">
        <v>31.3</v>
      </c>
      <c r="D44" s="6">
        <v>18.8</v>
      </c>
      <c r="E44" s="2"/>
      <c r="F44" s="2"/>
      <c r="G44" s="2"/>
      <c r="H44" s="2"/>
      <c r="I44" s="2"/>
      <c r="J44" s="2"/>
      <c r="K44" s="2"/>
      <c r="L44" s="2"/>
      <c r="M44" s="2"/>
      <c r="N44" s="2"/>
      <c r="O44" s="2"/>
      <c r="P44" s="2"/>
      <c r="Q44" s="2"/>
      <c r="R44" s="2"/>
      <c r="S44" s="2"/>
      <c r="T44" s="2"/>
      <c r="U44" s="2"/>
      <c r="V44" s="2"/>
      <c r="W44" s="2"/>
      <c r="X44" s="2"/>
      <c r="Y44" s="2"/>
      <c r="Z44" s="2"/>
    </row>
    <row r="45" spans="1:26" ht="21" customHeight="1" x14ac:dyDescent="0.55000000000000004">
      <c r="A45" s="5">
        <v>25</v>
      </c>
      <c r="B45" s="6">
        <v>1136.3900000000001</v>
      </c>
      <c r="C45" s="6">
        <v>32.57</v>
      </c>
      <c r="D45" s="6">
        <v>25.66</v>
      </c>
      <c r="E45" s="2"/>
      <c r="F45" s="2"/>
      <c r="G45" s="2"/>
      <c r="H45" s="2"/>
      <c r="I45" s="2"/>
      <c r="J45" s="2"/>
      <c r="K45" s="2"/>
      <c r="L45" s="2"/>
      <c r="M45" s="2"/>
      <c r="N45" s="2"/>
      <c r="O45" s="2"/>
      <c r="P45" s="2"/>
      <c r="Q45" s="2"/>
      <c r="R45" s="2"/>
      <c r="S45" s="2"/>
      <c r="T45" s="2"/>
      <c r="U45" s="2"/>
      <c r="V45" s="2"/>
      <c r="W45" s="2"/>
      <c r="X45" s="2"/>
      <c r="Y45" s="2"/>
      <c r="Z45" s="2"/>
    </row>
    <row r="46" spans="1:26" ht="21" customHeight="1" x14ac:dyDescent="0.55000000000000004">
      <c r="A46" s="5">
        <v>26</v>
      </c>
      <c r="B46" s="6">
        <v>593.22</v>
      </c>
      <c r="C46" s="6">
        <v>18.57</v>
      </c>
      <c r="D46" s="6">
        <v>22.02</v>
      </c>
      <c r="E46" s="2"/>
      <c r="F46" s="2"/>
      <c r="G46" s="2"/>
      <c r="H46" s="2"/>
      <c r="I46" s="2"/>
      <c r="J46" s="2"/>
      <c r="K46" s="2"/>
      <c r="L46" s="2"/>
      <c r="M46" s="2"/>
      <c r="N46" s="2"/>
      <c r="O46" s="2"/>
      <c r="P46" s="2"/>
      <c r="Q46" s="2"/>
      <c r="R46" s="2"/>
      <c r="S46" s="2"/>
      <c r="T46" s="2"/>
      <c r="U46" s="2"/>
      <c r="V46" s="2"/>
      <c r="W46" s="2"/>
      <c r="X46" s="2"/>
      <c r="Y46" s="2"/>
      <c r="Z46" s="2"/>
    </row>
    <row r="47" spans="1:26" ht="21" customHeight="1" x14ac:dyDescent="0.55000000000000004">
      <c r="A47" s="5">
        <v>27</v>
      </c>
      <c r="B47" s="6">
        <v>866.39</v>
      </c>
      <c r="C47" s="6">
        <v>27.05</v>
      </c>
      <c r="D47" s="6">
        <v>22.64</v>
      </c>
      <c r="E47" s="2"/>
      <c r="F47" s="2"/>
      <c r="G47" s="2"/>
      <c r="H47" s="2"/>
      <c r="I47" s="2"/>
      <c r="J47" s="2"/>
      <c r="K47" s="2"/>
      <c r="L47" s="2"/>
      <c r="M47" s="2"/>
      <c r="N47" s="2"/>
      <c r="O47" s="2"/>
      <c r="P47" s="2"/>
      <c r="Q47" s="2"/>
      <c r="R47" s="2"/>
      <c r="S47" s="2"/>
      <c r="T47" s="2"/>
      <c r="U47" s="2"/>
      <c r="V47" s="2"/>
      <c r="W47" s="2"/>
      <c r="X47" s="2"/>
      <c r="Y47" s="2"/>
      <c r="Z47" s="2"/>
    </row>
    <row r="48" spans="1:26" ht="21" customHeight="1" x14ac:dyDescent="0.55000000000000004">
      <c r="A48" s="5">
        <v>28</v>
      </c>
      <c r="B48" s="6">
        <v>1025.29</v>
      </c>
      <c r="C48" s="6">
        <v>31.55</v>
      </c>
      <c r="D48" s="6">
        <v>24.98</v>
      </c>
      <c r="E48" s="2"/>
      <c r="F48" s="2"/>
      <c r="G48" s="2"/>
      <c r="H48" s="2"/>
      <c r="I48" s="2"/>
      <c r="J48" s="2"/>
      <c r="K48" s="2"/>
      <c r="L48" s="2"/>
      <c r="M48" s="2"/>
      <c r="N48" s="2"/>
      <c r="O48" s="2"/>
      <c r="P48" s="2"/>
      <c r="Q48" s="2"/>
      <c r="R48" s="2"/>
      <c r="S48" s="2"/>
      <c r="T48" s="2"/>
      <c r="U48" s="2"/>
      <c r="V48" s="2"/>
      <c r="W48" s="2"/>
      <c r="X48" s="2"/>
      <c r="Y48" s="2"/>
      <c r="Z48" s="2"/>
    </row>
    <row r="49" spans="1:26" ht="21" customHeight="1" x14ac:dyDescent="0.55000000000000004">
      <c r="A49" s="5">
        <v>29</v>
      </c>
      <c r="B49" s="6">
        <v>968.31</v>
      </c>
      <c r="C49" s="6">
        <v>34.58</v>
      </c>
      <c r="D49" s="6">
        <v>17.41</v>
      </c>
      <c r="E49" s="2"/>
      <c r="F49" s="2"/>
      <c r="G49" s="2"/>
      <c r="H49" s="2"/>
      <c r="I49" s="2"/>
      <c r="J49" s="2"/>
      <c r="K49" s="2"/>
      <c r="L49" s="2"/>
      <c r="M49" s="2"/>
      <c r="N49" s="2"/>
      <c r="O49" s="2"/>
      <c r="P49" s="2"/>
      <c r="Q49" s="2"/>
      <c r="R49" s="2"/>
      <c r="S49" s="2"/>
      <c r="T49" s="2"/>
      <c r="U49" s="2"/>
      <c r="V49" s="2"/>
      <c r="W49" s="2"/>
      <c r="X49" s="2"/>
      <c r="Y49" s="2"/>
      <c r="Z49" s="2"/>
    </row>
    <row r="50" spans="1:26" ht="21" customHeight="1" x14ac:dyDescent="0.55000000000000004">
      <c r="A50" s="5">
        <v>30</v>
      </c>
      <c r="B50" s="6">
        <v>827.43</v>
      </c>
      <c r="C50" s="6">
        <v>22.66</v>
      </c>
      <c r="D50" s="6">
        <v>23.12</v>
      </c>
      <c r="E50" s="2"/>
      <c r="F50" s="2"/>
      <c r="G50" s="2"/>
      <c r="H50" s="2"/>
      <c r="I50" s="2"/>
      <c r="J50" s="2"/>
      <c r="K50" s="2"/>
      <c r="L50" s="2"/>
      <c r="M50" s="2"/>
      <c r="N50" s="2"/>
      <c r="O50" s="2"/>
      <c r="P50" s="2"/>
      <c r="Q50" s="2"/>
      <c r="R50" s="2"/>
      <c r="S50" s="2"/>
      <c r="T50" s="2"/>
      <c r="U50" s="2"/>
      <c r="V50" s="2"/>
      <c r="W50" s="2"/>
      <c r="X50" s="2"/>
      <c r="Y50" s="2"/>
      <c r="Z50" s="2"/>
    </row>
    <row r="51" spans="1:26" ht="21" customHeight="1" x14ac:dyDescent="0.55000000000000004">
      <c r="A51" s="5">
        <v>31</v>
      </c>
      <c r="B51" s="6">
        <v>643.39</v>
      </c>
      <c r="C51" s="6">
        <v>20.87</v>
      </c>
      <c r="D51" s="6">
        <v>18.63</v>
      </c>
      <c r="E51" s="2"/>
      <c r="F51" s="2"/>
      <c r="G51" s="2"/>
      <c r="H51" s="2"/>
      <c r="I51" s="2"/>
      <c r="J51" s="2"/>
      <c r="K51" s="2"/>
      <c r="L51" s="2"/>
      <c r="M51" s="2"/>
      <c r="N51" s="2"/>
      <c r="O51" s="2"/>
      <c r="P51" s="2"/>
      <c r="Q51" s="2"/>
      <c r="R51" s="2"/>
      <c r="S51" s="2"/>
      <c r="T51" s="2"/>
      <c r="U51" s="2"/>
      <c r="V51" s="2"/>
      <c r="W51" s="2"/>
      <c r="X51" s="2"/>
      <c r="Y51" s="2"/>
      <c r="Z51" s="2"/>
    </row>
    <row r="52" spans="1:26" ht="21" customHeight="1" x14ac:dyDescent="0.55000000000000004">
      <c r="A52" s="5">
        <v>32</v>
      </c>
      <c r="B52" s="6">
        <v>843.54</v>
      </c>
      <c r="C52" s="6">
        <v>32.9</v>
      </c>
      <c r="D52" s="6">
        <v>15.35</v>
      </c>
      <c r="E52" s="2"/>
      <c r="F52" s="2"/>
      <c r="G52" s="2"/>
      <c r="H52" s="2"/>
      <c r="I52" s="2"/>
      <c r="J52" s="2"/>
      <c r="K52" s="2"/>
      <c r="L52" s="2"/>
      <c r="M52" s="2"/>
      <c r="N52" s="2"/>
      <c r="O52" s="2"/>
      <c r="P52" s="2"/>
      <c r="Q52" s="2"/>
      <c r="R52" s="2"/>
      <c r="S52" s="2"/>
      <c r="T52" s="2"/>
      <c r="U52" s="2"/>
      <c r="V52" s="2"/>
      <c r="W52" s="2"/>
      <c r="X52" s="2"/>
      <c r="Y52" s="2"/>
      <c r="Z52" s="2"/>
    </row>
    <row r="53" spans="1:26" ht="21" customHeight="1" x14ac:dyDescent="0.55000000000000004">
      <c r="A53" s="5">
        <v>33</v>
      </c>
      <c r="B53" s="6">
        <v>760.67</v>
      </c>
      <c r="C53" s="6">
        <v>33.46</v>
      </c>
      <c r="D53" s="6">
        <v>9.89</v>
      </c>
      <c r="E53" s="2"/>
      <c r="F53" s="2"/>
      <c r="G53" s="2"/>
      <c r="H53" s="2"/>
      <c r="I53" s="2"/>
      <c r="J53" s="2"/>
      <c r="K53" s="2"/>
      <c r="L53" s="2"/>
      <c r="M53" s="2"/>
      <c r="N53" s="2"/>
      <c r="O53" s="2"/>
      <c r="P53" s="2"/>
      <c r="Q53" s="2"/>
      <c r="R53" s="2"/>
      <c r="S53" s="2"/>
      <c r="T53" s="2"/>
      <c r="U53" s="2"/>
      <c r="V53" s="2"/>
      <c r="W53" s="2"/>
      <c r="X53" s="2"/>
      <c r="Y53" s="2"/>
      <c r="Z53" s="2"/>
    </row>
    <row r="54" spans="1:26" ht="21" customHeight="1" x14ac:dyDescent="0.55000000000000004">
      <c r="A54" s="5">
        <v>34</v>
      </c>
      <c r="B54" s="6">
        <v>834.18</v>
      </c>
      <c r="C54" s="6">
        <v>21.36</v>
      </c>
      <c r="D54" s="6">
        <v>29.44</v>
      </c>
      <c r="E54" s="2"/>
      <c r="F54" s="2"/>
      <c r="G54" s="2"/>
      <c r="H54" s="2"/>
      <c r="I54" s="2"/>
      <c r="J54" s="2"/>
      <c r="K54" s="2"/>
      <c r="L54" s="2"/>
      <c r="M54" s="2"/>
      <c r="N54" s="2"/>
      <c r="O54" s="2"/>
      <c r="P54" s="2"/>
      <c r="Q54" s="2"/>
      <c r="R54" s="2"/>
      <c r="S54" s="2"/>
      <c r="T54" s="2"/>
      <c r="U54" s="2"/>
      <c r="V54" s="2"/>
      <c r="W54" s="2"/>
      <c r="X54" s="2"/>
      <c r="Y54" s="2"/>
      <c r="Z54" s="2"/>
    </row>
    <row r="55" spans="1:26" ht="21" customHeight="1" x14ac:dyDescent="0.55000000000000004">
      <c r="A55" s="5">
        <v>35</v>
      </c>
      <c r="B55" s="6">
        <v>756.12</v>
      </c>
      <c r="C55" s="6">
        <v>25.51</v>
      </c>
      <c r="D55" s="6">
        <v>20.05</v>
      </c>
      <c r="E55" s="2"/>
      <c r="F55" s="2"/>
      <c r="G55" s="2"/>
      <c r="H55" s="2"/>
      <c r="I55" s="2"/>
      <c r="J55" s="2"/>
      <c r="K55" s="2"/>
      <c r="L55" s="2"/>
      <c r="M55" s="2"/>
      <c r="N55" s="2"/>
      <c r="O55" s="2"/>
      <c r="P55" s="2"/>
      <c r="Q55" s="2"/>
      <c r="R55" s="2"/>
      <c r="S55" s="2"/>
      <c r="T55" s="2"/>
      <c r="U55" s="2"/>
      <c r="V55" s="2"/>
      <c r="W55" s="2"/>
      <c r="X55" s="2"/>
      <c r="Y55" s="2"/>
      <c r="Z55" s="2"/>
    </row>
    <row r="56" spans="1:26" ht="21" customHeight="1" x14ac:dyDescent="0.55000000000000004">
      <c r="A56" s="5">
        <v>36</v>
      </c>
      <c r="B56" s="6">
        <v>1086.54</v>
      </c>
      <c r="C56" s="6">
        <v>30.23</v>
      </c>
      <c r="D56" s="6">
        <v>26.07</v>
      </c>
      <c r="E56" s="2"/>
      <c r="F56" s="2"/>
      <c r="G56" s="2"/>
      <c r="H56" s="2"/>
      <c r="I56" s="2"/>
      <c r="J56" s="2"/>
      <c r="K56" s="2"/>
      <c r="L56" s="2"/>
      <c r="M56" s="2"/>
      <c r="N56" s="2"/>
      <c r="O56" s="2"/>
      <c r="P56" s="2"/>
      <c r="Q56" s="2"/>
      <c r="R56" s="2"/>
      <c r="S56" s="2"/>
      <c r="T56" s="2"/>
      <c r="U56" s="2"/>
      <c r="V56" s="2"/>
      <c r="W56" s="2"/>
      <c r="X56" s="2"/>
      <c r="Y56" s="2"/>
      <c r="Z56" s="2"/>
    </row>
    <row r="57" spans="1:26" ht="21" customHeight="1" x14ac:dyDescent="0.55000000000000004">
      <c r="A57" s="5">
        <v>37</v>
      </c>
      <c r="B57" s="6">
        <v>1038.05</v>
      </c>
      <c r="C57" s="6">
        <v>32.369999999999997</v>
      </c>
      <c r="D57" s="6">
        <v>24.3</v>
      </c>
      <c r="E57" s="2"/>
      <c r="F57" s="2"/>
      <c r="G57" s="2"/>
      <c r="H57" s="2"/>
      <c r="I57" s="2"/>
      <c r="J57" s="2"/>
      <c r="K57" s="2"/>
      <c r="L57" s="2"/>
      <c r="M57" s="2"/>
      <c r="N57" s="2"/>
      <c r="O57" s="2"/>
      <c r="P57" s="2"/>
      <c r="Q57" s="2"/>
      <c r="R57" s="2"/>
      <c r="S57" s="2"/>
      <c r="T57" s="2"/>
      <c r="U57" s="2"/>
      <c r="V57" s="2"/>
      <c r="W57" s="2"/>
      <c r="X57" s="2"/>
      <c r="Y57" s="2"/>
      <c r="Z57" s="2"/>
    </row>
    <row r="58" spans="1:26" ht="21" customHeight="1" x14ac:dyDescent="0.55000000000000004">
      <c r="A58" s="5">
        <v>38</v>
      </c>
      <c r="B58" s="6">
        <v>719.8</v>
      </c>
      <c r="C58" s="6">
        <v>20.86</v>
      </c>
      <c r="D58" s="6">
        <v>22.55</v>
      </c>
      <c r="E58" s="2"/>
      <c r="F58" s="2"/>
      <c r="G58" s="2"/>
      <c r="H58" s="2"/>
      <c r="I58" s="2"/>
      <c r="J58" s="2"/>
      <c r="K58" s="2"/>
      <c r="L58" s="2"/>
      <c r="M58" s="2"/>
      <c r="N58" s="2"/>
      <c r="O58" s="2"/>
      <c r="P58" s="2"/>
      <c r="Q58" s="2"/>
      <c r="R58" s="2"/>
      <c r="S58" s="2"/>
      <c r="T58" s="2"/>
      <c r="U58" s="2"/>
      <c r="V58" s="2"/>
      <c r="W58" s="2"/>
      <c r="X58" s="2"/>
      <c r="Y58" s="2"/>
      <c r="Z58" s="2"/>
    </row>
    <row r="59" spans="1:26" ht="21" customHeight="1" x14ac:dyDescent="0.55000000000000004">
      <c r="A59" s="5">
        <v>39</v>
      </c>
      <c r="B59" s="6">
        <v>900.84</v>
      </c>
      <c r="C59" s="6">
        <v>29.3</v>
      </c>
      <c r="D59" s="6">
        <v>17.79</v>
      </c>
      <c r="E59" s="2"/>
      <c r="F59" s="2"/>
      <c r="G59" s="2"/>
      <c r="H59" s="2"/>
      <c r="I59" s="2"/>
      <c r="J59" s="2"/>
      <c r="K59" s="2"/>
      <c r="L59" s="2"/>
      <c r="M59" s="2"/>
      <c r="N59" s="2"/>
      <c r="O59" s="2"/>
      <c r="P59" s="2"/>
      <c r="Q59" s="2"/>
      <c r="R59" s="2"/>
      <c r="S59" s="2"/>
      <c r="T59" s="2"/>
      <c r="U59" s="2"/>
      <c r="V59" s="2"/>
      <c r="W59" s="2"/>
      <c r="X59" s="2"/>
      <c r="Y59" s="2"/>
      <c r="Z59" s="2"/>
    </row>
    <row r="60" spans="1:26" ht="21" customHeight="1" x14ac:dyDescent="0.55000000000000004">
      <c r="A60" s="5">
        <v>40</v>
      </c>
      <c r="B60" s="6">
        <v>693.23</v>
      </c>
      <c r="C60" s="6">
        <v>31.73</v>
      </c>
      <c r="D60" s="6">
        <v>12.75</v>
      </c>
      <c r="E60" s="2"/>
      <c r="F60" s="2"/>
      <c r="G60" s="2"/>
      <c r="H60" s="2"/>
      <c r="I60" s="2"/>
      <c r="J60" s="2"/>
      <c r="K60" s="2"/>
      <c r="L60" s="2"/>
      <c r="M60" s="2"/>
      <c r="N60" s="2"/>
      <c r="O60" s="2"/>
      <c r="P60" s="2"/>
      <c r="Q60" s="2"/>
      <c r="R60" s="2"/>
      <c r="S60" s="2"/>
      <c r="T60" s="2"/>
      <c r="U60" s="2"/>
      <c r="V60" s="2"/>
      <c r="W60" s="2"/>
      <c r="X60" s="2"/>
      <c r="Y60" s="2"/>
      <c r="Z60" s="2"/>
    </row>
    <row r="61" spans="1:26" ht="21" customHeight="1" x14ac:dyDescent="0.55000000000000004">
      <c r="A61" s="5">
        <v>41</v>
      </c>
      <c r="B61" s="6">
        <v>816.99</v>
      </c>
      <c r="C61" s="6">
        <v>27.35</v>
      </c>
      <c r="D61" s="6">
        <v>17</v>
      </c>
      <c r="E61" s="2"/>
      <c r="F61" s="2"/>
      <c r="G61" s="2"/>
      <c r="H61" s="2"/>
      <c r="I61" s="2"/>
      <c r="J61" s="2"/>
      <c r="K61" s="2"/>
      <c r="L61" s="2"/>
      <c r="M61" s="2"/>
      <c r="N61" s="2"/>
      <c r="O61" s="2"/>
      <c r="P61" s="2"/>
      <c r="Q61" s="2"/>
      <c r="R61" s="2"/>
      <c r="S61" s="2"/>
      <c r="T61" s="2"/>
      <c r="U61" s="2"/>
      <c r="V61" s="2"/>
      <c r="W61" s="2"/>
      <c r="X61" s="2"/>
      <c r="Y61" s="2"/>
      <c r="Z61" s="2"/>
    </row>
    <row r="62" spans="1:26" ht="21" customHeight="1" x14ac:dyDescent="0.55000000000000004">
      <c r="A62" s="5">
        <v>42</v>
      </c>
      <c r="B62" s="6">
        <v>747.08</v>
      </c>
      <c r="C62" s="6">
        <v>20.8</v>
      </c>
      <c r="D62" s="6">
        <v>25.88</v>
      </c>
      <c r="E62" s="2"/>
      <c r="F62" s="2"/>
      <c r="G62" s="2"/>
      <c r="H62" s="2"/>
      <c r="I62" s="2"/>
      <c r="J62" s="2"/>
      <c r="K62" s="2"/>
      <c r="L62" s="2"/>
      <c r="M62" s="2"/>
      <c r="N62" s="2"/>
      <c r="O62" s="2"/>
      <c r="P62" s="2"/>
      <c r="Q62" s="2"/>
      <c r="R62" s="2"/>
      <c r="S62" s="2"/>
      <c r="T62" s="2"/>
      <c r="U62" s="2"/>
      <c r="V62" s="2"/>
      <c r="W62" s="2"/>
      <c r="X62" s="2"/>
      <c r="Y62" s="2"/>
      <c r="Z62" s="2"/>
    </row>
    <row r="63" spans="1:26" ht="21" customHeight="1" x14ac:dyDescent="0.55000000000000004">
      <c r="A63" s="5">
        <v>43</v>
      </c>
      <c r="B63" s="6">
        <v>960.18</v>
      </c>
      <c r="C63" s="6">
        <v>18.600000000000001</v>
      </c>
      <c r="D63" s="6">
        <v>37.49</v>
      </c>
      <c r="E63" s="2"/>
      <c r="F63" s="2"/>
      <c r="G63" s="2"/>
      <c r="H63" s="2"/>
      <c r="I63" s="2"/>
      <c r="J63" s="2"/>
      <c r="K63" s="2"/>
      <c r="L63" s="2"/>
      <c r="M63" s="2"/>
      <c r="N63" s="2"/>
      <c r="O63" s="2"/>
      <c r="P63" s="2"/>
      <c r="Q63" s="2"/>
      <c r="R63" s="2"/>
      <c r="S63" s="2"/>
      <c r="T63" s="2"/>
      <c r="U63" s="2"/>
      <c r="V63" s="2"/>
      <c r="W63" s="2"/>
      <c r="X63" s="2"/>
      <c r="Y63" s="2"/>
      <c r="Z63" s="2"/>
    </row>
    <row r="64" spans="1:26" ht="21" customHeight="1" x14ac:dyDescent="0.55000000000000004">
      <c r="A64" s="5">
        <v>44</v>
      </c>
      <c r="B64" s="6">
        <v>759.25</v>
      </c>
      <c r="C64" s="6">
        <v>22.79</v>
      </c>
      <c r="D64" s="6">
        <v>23.25</v>
      </c>
      <c r="E64" s="2"/>
      <c r="F64" s="2"/>
      <c r="G64" s="2"/>
      <c r="H64" s="2"/>
      <c r="I64" s="2"/>
      <c r="J64" s="2"/>
      <c r="K64" s="2"/>
      <c r="L64" s="2"/>
      <c r="M64" s="2"/>
      <c r="N64" s="2"/>
      <c r="O64" s="2"/>
      <c r="P64" s="2"/>
      <c r="Q64" s="2"/>
      <c r="R64" s="2"/>
      <c r="S64" s="2"/>
      <c r="T64" s="2"/>
      <c r="U64" s="2"/>
      <c r="V64" s="2"/>
      <c r="W64" s="2"/>
      <c r="X64" s="2"/>
      <c r="Y64" s="2"/>
      <c r="Z64" s="2"/>
    </row>
    <row r="65" spans="1:26" ht="21" customHeight="1" x14ac:dyDescent="0.55000000000000004">
      <c r="A65" s="5">
        <v>45</v>
      </c>
      <c r="B65" s="6">
        <v>821.37</v>
      </c>
      <c r="C65" s="6">
        <v>31.73</v>
      </c>
      <c r="D65" s="6">
        <v>12.25</v>
      </c>
      <c r="E65" s="2"/>
      <c r="F65" s="2"/>
      <c r="G65" s="2"/>
      <c r="H65" s="2"/>
      <c r="I65" s="2"/>
      <c r="J65" s="2"/>
      <c r="K65" s="2"/>
      <c r="L65" s="2"/>
      <c r="M65" s="2"/>
      <c r="N65" s="2"/>
      <c r="O65" s="2"/>
      <c r="P65" s="2"/>
      <c r="Q65" s="2"/>
      <c r="R65" s="2"/>
      <c r="S65" s="2"/>
      <c r="T65" s="2"/>
      <c r="U65" s="2"/>
      <c r="V65" s="2"/>
      <c r="W65" s="2"/>
      <c r="X65" s="2"/>
      <c r="Y65" s="2"/>
      <c r="Z65" s="2"/>
    </row>
    <row r="66" spans="1:26" ht="21" customHeight="1" x14ac:dyDescent="0.55000000000000004">
      <c r="A66" s="5">
        <v>46</v>
      </c>
      <c r="B66" s="6">
        <v>1003.53</v>
      </c>
      <c r="C66" s="6">
        <v>18.760000000000002</v>
      </c>
      <c r="D66" s="6">
        <v>39.15</v>
      </c>
      <c r="E66" s="2"/>
      <c r="F66" s="2"/>
      <c r="G66" s="2"/>
      <c r="H66" s="2"/>
      <c r="I66" s="2"/>
      <c r="J66" s="2"/>
      <c r="K66" s="2"/>
      <c r="L66" s="2"/>
      <c r="M66" s="2"/>
      <c r="N66" s="2"/>
      <c r="O66" s="2"/>
      <c r="P66" s="2"/>
      <c r="Q66" s="2"/>
      <c r="R66" s="2"/>
      <c r="S66" s="2"/>
      <c r="T66" s="2"/>
      <c r="U66" s="2"/>
      <c r="V66" s="2"/>
      <c r="W66" s="2"/>
      <c r="X66" s="2"/>
      <c r="Y66" s="2"/>
      <c r="Z66" s="2"/>
    </row>
    <row r="67" spans="1:26" ht="21" customHeight="1" x14ac:dyDescent="0.55000000000000004">
      <c r="A67" s="5">
        <v>47</v>
      </c>
      <c r="B67" s="6">
        <v>789.09</v>
      </c>
      <c r="C67" s="6">
        <v>18.14</v>
      </c>
      <c r="D67" s="6">
        <v>27.63</v>
      </c>
      <c r="E67" s="2"/>
      <c r="F67" s="2"/>
      <c r="G67" s="2"/>
      <c r="H67" s="2"/>
      <c r="I67" s="2"/>
      <c r="J67" s="2"/>
      <c r="K67" s="2"/>
      <c r="L67" s="2"/>
      <c r="M67" s="2"/>
      <c r="N67" s="2"/>
      <c r="O67" s="2"/>
      <c r="P67" s="2"/>
      <c r="Q67" s="2"/>
      <c r="R67" s="2"/>
      <c r="S67" s="2"/>
      <c r="T67" s="2"/>
      <c r="U67" s="2"/>
      <c r="V67" s="2"/>
      <c r="W67" s="2"/>
      <c r="X67" s="2"/>
      <c r="Y67" s="2"/>
      <c r="Z67" s="2"/>
    </row>
    <row r="68" spans="1:26" ht="21" customHeight="1" x14ac:dyDescent="0.55000000000000004">
      <c r="A68" s="5">
        <v>48</v>
      </c>
      <c r="B68" s="6">
        <v>1134.5</v>
      </c>
      <c r="C68" s="6">
        <v>24.15</v>
      </c>
      <c r="D68" s="6">
        <v>34.39</v>
      </c>
      <c r="E68" s="2"/>
      <c r="F68" s="2"/>
      <c r="G68" s="2"/>
      <c r="H68" s="2"/>
      <c r="I68" s="2"/>
      <c r="J68" s="2"/>
      <c r="K68" s="2"/>
      <c r="L68" s="2"/>
      <c r="M68" s="2"/>
      <c r="N68" s="2"/>
      <c r="O68" s="2"/>
      <c r="P68" s="2"/>
      <c r="Q68" s="2"/>
      <c r="R68" s="2"/>
      <c r="S68" s="2"/>
      <c r="T68" s="2"/>
      <c r="U68" s="2"/>
      <c r="V68" s="2"/>
      <c r="W68" s="2"/>
      <c r="X68" s="2"/>
      <c r="Y68" s="2"/>
      <c r="Z68" s="2"/>
    </row>
    <row r="69" spans="1:26" ht="21" customHeight="1" x14ac:dyDescent="0.55000000000000004">
      <c r="A69" s="5">
        <v>49</v>
      </c>
      <c r="B69" s="6">
        <v>626.32000000000005</v>
      </c>
      <c r="C69" s="6">
        <v>19.079999999999998</v>
      </c>
      <c r="D69" s="6">
        <v>21.61</v>
      </c>
      <c r="E69" s="2"/>
      <c r="F69" s="2"/>
      <c r="G69" s="2"/>
      <c r="H69" s="2"/>
      <c r="I69" s="2"/>
      <c r="J69" s="2"/>
      <c r="K69" s="2"/>
      <c r="L69" s="2"/>
      <c r="M69" s="2"/>
      <c r="N69" s="2"/>
      <c r="O69" s="2"/>
      <c r="P69" s="2"/>
      <c r="Q69" s="2"/>
      <c r="R69" s="2"/>
      <c r="S69" s="2"/>
      <c r="T69" s="2"/>
      <c r="U69" s="2"/>
      <c r="V69" s="2"/>
      <c r="W69" s="2"/>
      <c r="X69" s="2"/>
      <c r="Y69" s="2"/>
      <c r="Z69" s="2"/>
    </row>
    <row r="70" spans="1:26" ht="21" customHeight="1" x14ac:dyDescent="0.55000000000000004">
      <c r="A70" s="5">
        <v>50</v>
      </c>
      <c r="B70" s="6">
        <v>1018.78</v>
      </c>
      <c r="C70" s="6">
        <v>20.54</v>
      </c>
      <c r="D70" s="6">
        <v>37.28</v>
      </c>
      <c r="E70" s="2"/>
      <c r="F70" s="2"/>
      <c r="G70" s="2"/>
      <c r="H70" s="2"/>
      <c r="I70" s="2"/>
      <c r="J70" s="2"/>
      <c r="K70" s="2"/>
      <c r="L70" s="2"/>
      <c r="M70" s="2"/>
      <c r="N70" s="2"/>
      <c r="O70" s="2"/>
      <c r="P70" s="2"/>
      <c r="Q70" s="2"/>
      <c r="R70" s="2"/>
      <c r="S70" s="2"/>
      <c r="T70" s="2"/>
      <c r="U70" s="2"/>
      <c r="V70" s="2"/>
      <c r="W70" s="2"/>
      <c r="X70" s="2"/>
      <c r="Y70" s="2"/>
      <c r="Z70" s="2"/>
    </row>
    <row r="71" spans="1:26" ht="21" customHeight="1" x14ac:dyDescent="0.55000000000000004">
      <c r="A71" s="5">
        <v>51</v>
      </c>
      <c r="B71" s="6">
        <v>795.66</v>
      </c>
      <c r="C71" s="6">
        <v>18.39</v>
      </c>
      <c r="D71" s="6">
        <v>30.2</v>
      </c>
      <c r="E71" s="2"/>
      <c r="F71" s="2"/>
      <c r="G71" s="2"/>
      <c r="H71" s="2"/>
      <c r="I71" s="2"/>
      <c r="J71" s="2"/>
      <c r="K71" s="2"/>
      <c r="L71" s="2"/>
      <c r="M71" s="2"/>
      <c r="N71" s="2"/>
      <c r="O71" s="2"/>
      <c r="P71" s="2"/>
      <c r="Q71" s="2"/>
      <c r="R71" s="2"/>
      <c r="S71" s="2"/>
      <c r="T71" s="2"/>
      <c r="U71" s="2"/>
      <c r="V71" s="2"/>
      <c r="W71" s="2"/>
      <c r="X71" s="2"/>
      <c r="Y71" s="2"/>
      <c r="Z71" s="2"/>
    </row>
    <row r="72" spans="1:26" ht="21" customHeight="1" x14ac:dyDescent="0.55000000000000004">
      <c r="A72" s="5">
        <v>52</v>
      </c>
      <c r="B72" s="6">
        <v>798.52</v>
      </c>
      <c r="C72" s="6">
        <v>26.92</v>
      </c>
      <c r="D72" s="6">
        <v>20.85</v>
      </c>
      <c r="E72" s="2"/>
      <c r="F72" s="2"/>
      <c r="G72" s="2"/>
      <c r="H72" s="2"/>
      <c r="I72" s="2"/>
      <c r="J72" s="2"/>
      <c r="K72" s="2"/>
      <c r="L72" s="2"/>
      <c r="M72" s="2"/>
      <c r="N72" s="2"/>
      <c r="O72" s="2"/>
      <c r="P72" s="2"/>
      <c r="Q72" s="2"/>
      <c r="R72" s="2"/>
      <c r="S72" s="2"/>
      <c r="T72" s="2"/>
      <c r="U72" s="2"/>
      <c r="V72" s="2"/>
      <c r="W72" s="2"/>
      <c r="X72" s="2"/>
      <c r="Y72" s="2"/>
      <c r="Z72" s="2"/>
    </row>
    <row r="73" spans="1:26" ht="21" customHeight="1" x14ac:dyDescent="0.55000000000000004">
      <c r="A73" s="5">
        <v>53</v>
      </c>
      <c r="B73" s="6">
        <v>944.07</v>
      </c>
      <c r="C73" s="6">
        <v>29.84</v>
      </c>
      <c r="D73" s="6">
        <v>21.28</v>
      </c>
      <c r="E73" s="2"/>
      <c r="F73" s="2"/>
      <c r="G73" s="2"/>
      <c r="H73" s="2"/>
      <c r="I73" s="2"/>
      <c r="J73" s="2"/>
      <c r="K73" s="2"/>
      <c r="L73" s="2"/>
      <c r="M73" s="2"/>
      <c r="N73" s="2"/>
      <c r="O73" s="2"/>
      <c r="P73" s="2"/>
      <c r="Q73" s="2"/>
      <c r="R73" s="2"/>
      <c r="S73" s="2"/>
      <c r="T73" s="2"/>
      <c r="U73" s="2"/>
      <c r="V73" s="2"/>
      <c r="W73" s="2"/>
      <c r="X73" s="2"/>
      <c r="Y73" s="2"/>
      <c r="Z73" s="2"/>
    </row>
    <row r="74" spans="1:26" ht="21" customHeight="1" x14ac:dyDescent="0.55000000000000004">
      <c r="A74" s="5">
        <v>54</v>
      </c>
      <c r="B74" s="6">
        <v>866.03</v>
      </c>
      <c r="C74" s="6">
        <v>25.26</v>
      </c>
      <c r="D74" s="6">
        <v>24.07</v>
      </c>
      <c r="E74" s="2"/>
      <c r="F74" s="2"/>
      <c r="G74" s="2"/>
      <c r="H74" s="2"/>
      <c r="I74" s="2"/>
      <c r="J74" s="2"/>
      <c r="K74" s="2"/>
      <c r="L74" s="2"/>
      <c r="M74" s="2"/>
      <c r="N74" s="2"/>
      <c r="O74" s="2"/>
      <c r="P74" s="2"/>
      <c r="Q74" s="2"/>
      <c r="R74" s="2"/>
      <c r="S74" s="2"/>
      <c r="T74" s="2"/>
      <c r="U74" s="2"/>
      <c r="V74" s="2"/>
      <c r="W74" s="2"/>
      <c r="X74" s="2"/>
      <c r="Y74" s="2"/>
      <c r="Z74" s="2"/>
    </row>
    <row r="75" spans="1:26" ht="21" customHeight="1" x14ac:dyDescent="0.55000000000000004">
      <c r="A75" s="5">
        <v>55</v>
      </c>
      <c r="B75" s="6">
        <v>790.42</v>
      </c>
      <c r="C75" s="6">
        <v>20.29</v>
      </c>
      <c r="D75" s="6">
        <v>25.57</v>
      </c>
      <c r="E75" s="2"/>
      <c r="F75" s="2"/>
      <c r="G75" s="2"/>
      <c r="H75" s="2"/>
      <c r="I75" s="2"/>
      <c r="J75" s="2"/>
      <c r="K75" s="2"/>
      <c r="L75" s="2"/>
      <c r="M75" s="2"/>
      <c r="N75" s="2"/>
      <c r="O75" s="2"/>
      <c r="P75" s="2"/>
      <c r="Q75" s="2"/>
      <c r="R75" s="2"/>
      <c r="S75" s="2"/>
      <c r="T75" s="2"/>
      <c r="U75" s="2"/>
      <c r="V75" s="2"/>
      <c r="W75" s="2"/>
      <c r="X75" s="2"/>
      <c r="Y75" s="2"/>
      <c r="Z75" s="2"/>
    </row>
    <row r="76" spans="1:26" ht="21" customHeight="1" x14ac:dyDescent="0.55000000000000004">
      <c r="A76" s="5">
        <v>56</v>
      </c>
      <c r="B76" s="6">
        <v>501</v>
      </c>
      <c r="C76" s="6">
        <v>23.63</v>
      </c>
      <c r="D76" s="6">
        <v>11.2</v>
      </c>
      <c r="E76" s="2"/>
      <c r="F76" s="2"/>
      <c r="G76" s="2"/>
      <c r="H76" s="2"/>
      <c r="I76" s="2"/>
      <c r="J76" s="2"/>
      <c r="K76" s="2"/>
      <c r="L76" s="2"/>
      <c r="M76" s="2"/>
      <c r="N76" s="2"/>
      <c r="O76" s="2"/>
      <c r="P76" s="2"/>
      <c r="Q76" s="2"/>
      <c r="R76" s="2"/>
      <c r="S76" s="2"/>
      <c r="T76" s="2"/>
      <c r="U76" s="2"/>
      <c r="V76" s="2"/>
      <c r="W76" s="2"/>
      <c r="X76" s="2"/>
      <c r="Y76" s="2"/>
      <c r="Z76" s="2"/>
    </row>
    <row r="77" spans="1:26" ht="21" customHeight="1" x14ac:dyDescent="0.55000000000000004">
      <c r="A77" s="5">
        <v>57</v>
      </c>
      <c r="B77" s="6">
        <v>564.58000000000004</v>
      </c>
      <c r="C77" s="6">
        <v>28.04</v>
      </c>
      <c r="D77" s="6">
        <v>9.83</v>
      </c>
      <c r="E77" s="2"/>
      <c r="F77" s="2"/>
      <c r="G77" s="2"/>
      <c r="H77" s="2"/>
      <c r="I77" s="2"/>
      <c r="J77" s="2"/>
      <c r="K77" s="2"/>
      <c r="L77" s="2"/>
      <c r="M77" s="2"/>
      <c r="N77" s="2"/>
      <c r="O77" s="2"/>
      <c r="P77" s="2"/>
      <c r="Q77" s="2"/>
      <c r="R77" s="2"/>
      <c r="S77" s="2"/>
      <c r="T77" s="2"/>
      <c r="U77" s="2"/>
      <c r="V77" s="2"/>
      <c r="W77" s="2"/>
      <c r="X77" s="2"/>
      <c r="Y77" s="2"/>
      <c r="Z77" s="2"/>
    </row>
    <row r="78" spans="1:26" ht="21" customHeight="1" x14ac:dyDescent="0.55000000000000004">
      <c r="A78" s="5">
        <v>58</v>
      </c>
      <c r="B78" s="6">
        <v>996.58</v>
      </c>
      <c r="C78" s="6">
        <v>33.99</v>
      </c>
      <c r="D78" s="6">
        <v>18.62</v>
      </c>
      <c r="E78" s="2"/>
      <c r="F78" s="2"/>
      <c r="G78" s="2"/>
      <c r="H78" s="2"/>
      <c r="I78" s="2"/>
      <c r="J78" s="2"/>
      <c r="K78" s="2"/>
      <c r="L78" s="2"/>
      <c r="M78" s="2"/>
      <c r="N78" s="2"/>
      <c r="O78" s="2"/>
      <c r="P78" s="2"/>
      <c r="Q78" s="2"/>
      <c r="R78" s="2"/>
      <c r="S78" s="2"/>
      <c r="T78" s="2"/>
      <c r="U78" s="2"/>
      <c r="V78" s="2"/>
      <c r="W78" s="2"/>
      <c r="X78" s="2"/>
      <c r="Y78" s="2"/>
      <c r="Z78" s="2"/>
    </row>
    <row r="79" spans="1:26" ht="21" customHeight="1" x14ac:dyDescent="0.55000000000000004">
      <c r="A79" s="5">
        <v>59</v>
      </c>
      <c r="B79" s="6">
        <v>867.04</v>
      </c>
      <c r="C79" s="6">
        <v>34.869999999999997</v>
      </c>
      <c r="D79" s="6">
        <v>13.55</v>
      </c>
      <c r="E79" s="2"/>
      <c r="F79" s="2"/>
      <c r="G79" s="2"/>
      <c r="H79" s="2"/>
      <c r="I79" s="2"/>
      <c r="J79" s="2"/>
      <c r="K79" s="2"/>
      <c r="L79" s="2"/>
      <c r="M79" s="2"/>
      <c r="N79" s="2"/>
      <c r="O79" s="2"/>
      <c r="P79" s="2"/>
      <c r="Q79" s="2"/>
      <c r="R79" s="2"/>
      <c r="S79" s="2"/>
      <c r="T79" s="2"/>
      <c r="U79" s="2"/>
      <c r="V79" s="2"/>
      <c r="W79" s="2"/>
      <c r="X79" s="2"/>
      <c r="Y79" s="2"/>
      <c r="Z79" s="2"/>
    </row>
    <row r="80" spans="1:26" ht="21" customHeight="1" x14ac:dyDescent="0.55000000000000004">
      <c r="A80" s="5">
        <v>60</v>
      </c>
      <c r="B80" s="6">
        <v>987.31</v>
      </c>
      <c r="C80" s="6">
        <v>22.11</v>
      </c>
      <c r="D80" s="6">
        <v>32.1</v>
      </c>
      <c r="E80" s="2"/>
      <c r="F80" s="2"/>
      <c r="G80" s="2"/>
      <c r="H80" s="2"/>
      <c r="I80" s="2"/>
      <c r="J80" s="2"/>
      <c r="K80" s="2"/>
      <c r="L80" s="2"/>
      <c r="M80" s="2"/>
      <c r="N80" s="2"/>
      <c r="O80" s="2"/>
      <c r="P80" s="2"/>
      <c r="Q80" s="2"/>
      <c r="R80" s="2"/>
      <c r="S80" s="2"/>
      <c r="T80" s="2"/>
      <c r="U80" s="2"/>
      <c r="V80" s="2"/>
      <c r="W80" s="2"/>
      <c r="X80" s="2"/>
      <c r="Y80" s="2"/>
      <c r="Z80" s="2"/>
    </row>
    <row r="81" spans="1:26" ht="21" customHeight="1" x14ac:dyDescent="0.55000000000000004">
      <c r="A81" s="5">
        <v>61</v>
      </c>
      <c r="B81" s="6">
        <v>1168.83</v>
      </c>
      <c r="C81" s="6">
        <v>18.18</v>
      </c>
      <c r="D81" s="6">
        <v>44.05</v>
      </c>
      <c r="E81" s="2"/>
      <c r="F81" s="2"/>
      <c r="G81" s="2"/>
      <c r="H81" s="2"/>
      <c r="I81" s="2"/>
      <c r="J81" s="2"/>
      <c r="K81" s="2"/>
      <c r="L81" s="2"/>
      <c r="M81" s="2"/>
      <c r="N81" s="2"/>
      <c r="O81" s="2"/>
      <c r="P81" s="2"/>
      <c r="Q81" s="2"/>
      <c r="R81" s="2"/>
      <c r="S81" s="2"/>
      <c r="T81" s="2"/>
      <c r="U81" s="2"/>
      <c r="V81" s="2"/>
      <c r="W81" s="2"/>
      <c r="X81" s="2"/>
      <c r="Y81" s="2"/>
      <c r="Z81" s="2"/>
    </row>
    <row r="82" spans="1:26" ht="21" customHeight="1" x14ac:dyDescent="0.55000000000000004">
      <c r="A82" s="5">
        <v>62</v>
      </c>
      <c r="B82" s="6">
        <v>978.04</v>
      </c>
      <c r="C82" s="6">
        <v>32.119999999999997</v>
      </c>
      <c r="D82" s="6">
        <v>20.64</v>
      </c>
      <c r="E82" s="2"/>
      <c r="F82" s="2"/>
      <c r="G82" s="2"/>
      <c r="H82" s="2"/>
      <c r="I82" s="2"/>
      <c r="J82" s="2"/>
      <c r="K82" s="2"/>
      <c r="L82" s="2"/>
      <c r="M82" s="2"/>
      <c r="N82" s="2"/>
      <c r="O82" s="2"/>
      <c r="P82" s="2"/>
      <c r="Q82" s="2"/>
      <c r="R82" s="2"/>
      <c r="S82" s="2"/>
      <c r="T82" s="2"/>
      <c r="U82" s="2"/>
      <c r="V82" s="2"/>
      <c r="W82" s="2"/>
      <c r="X82" s="2"/>
      <c r="Y82" s="2"/>
      <c r="Z82" s="2"/>
    </row>
    <row r="83" spans="1:26" ht="21" customHeight="1" x14ac:dyDescent="0.55000000000000004">
      <c r="A83" s="5">
        <v>63</v>
      </c>
      <c r="B83" s="6">
        <v>537.19000000000005</v>
      </c>
      <c r="C83" s="6">
        <v>33.75</v>
      </c>
      <c r="D83" s="6">
        <v>0.69</v>
      </c>
      <c r="E83" s="2"/>
      <c r="F83" s="2"/>
      <c r="G83" s="2"/>
      <c r="H83" s="2"/>
      <c r="I83" s="2"/>
      <c r="J83" s="2"/>
      <c r="K83" s="2"/>
      <c r="L83" s="2"/>
      <c r="M83" s="2"/>
      <c r="N83" s="2"/>
      <c r="O83" s="2"/>
      <c r="P83" s="2"/>
      <c r="Q83" s="2"/>
      <c r="R83" s="2"/>
      <c r="S83" s="2"/>
      <c r="T83" s="2"/>
      <c r="U83" s="2"/>
      <c r="V83" s="2"/>
      <c r="W83" s="2"/>
      <c r="X83" s="2"/>
      <c r="Y83" s="2"/>
      <c r="Z83" s="2"/>
    </row>
    <row r="84" spans="1:26" ht="21" customHeight="1" x14ac:dyDescent="0.55000000000000004">
      <c r="A84" s="5">
        <v>64</v>
      </c>
      <c r="B84" s="6">
        <v>716.2</v>
      </c>
      <c r="C84" s="6">
        <v>25.8</v>
      </c>
      <c r="D84" s="6">
        <v>18.579999999999998</v>
      </c>
      <c r="E84" s="2"/>
      <c r="F84" s="2"/>
      <c r="G84" s="2"/>
      <c r="H84" s="2"/>
      <c r="I84" s="2"/>
      <c r="J84" s="2"/>
      <c r="K84" s="2"/>
      <c r="L84" s="2"/>
      <c r="M84" s="2"/>
      <c r="N84" s="2"/>
      <c r="O84" s="2"/>
      <c r="P84" s="2"/>
      <c r="Q84" s="2"/>
      <c r="R84" s="2"/>
      <c r="S84" s="2"/>
      <c r="T84" s="2"/>
      <c r="U84" s="2"/>
      <c r="V84" s="2"/>
      <c r="W84" s="2"/>
      <c r="X84" s="2"/>
      <c r="Y84" s="2"/>
      <c r="Z84" s="2"/>
    </row>
    <row r="85" spans="1:26" ht="21" customHeight="1" x14ac:dyDescent="0.55000000000000004">
      <c r="A85" s="5">
        <v>65</v>
      </c>
      <c r="B85" s="6">
        <v>914.82</v>
      </c>
      <c r="C85" s="6">
        <v>31.11</v>
      </c>
      <c r="D85" s="6">
        <v>19.52</v>
      </c>
      <c r="E85" s="2"/>
      <c r="F85" s="2"/>
      <c r="G85" s="2"/>
      <c r="H85" s="2"/>
      <c r="I85" s="2"/>
      <c r="J85" s="2"/>
      <c r="K85" s="2"/>
      <c r="L85" s="2"/>
      <c r="M85" s="2"/>
      <c r="N85" s="2"/>
      <c r="O85" s="2"/>
      <c r="P85" s="2"/>
      <c r="Q85" s="2"/>
      <c r="R85" s="2"/>
      <c r="S85" s="2"/>
      <c r="T85" s="2"/>
      <c r="U85" s="2"/>
      <c r="V85" s="2"/>
      <c r="W85" s="2"/>
      <c r="X85" s="2"/>
      <c r="Y85" s="2"/>
      <c r="Z85" s="2"/>
    </row>
    <row r="86" spans="1:26" ht="21" customHeight="1" x14ac:dyDescent="0.55000000000000004">
      <c r="A86" s="5">
        <v>66</v>
      </c>
      <c r="B86" s="6">
        <v>664.58</v>
      </c>
      <c r="C86" s="6">
        <v>32.729999999999997</v>
      </c>
      <c r="D86" s="6">
        <v>9.92</v>
      </c>
      <c r="E86" s="2"/>
      <c r="F86" s="2"/>
      <c r="G86" s="2"/>
      <c r="H86" s="2"/>
      <c r="I86" s="2"/>
      <c r="J86" s="2"/>
      <c r="K86" s="2"/>
      <c r="L86" s="2"/>
      <c r="M86" s="2"/>
      <c r="N86" s="2"/>
      <c r="O86" s="2"/>
      <c r="P86" s="2"/>
      <c r="Q86" s="2"/>
      <c r="R86" s="2"/>
      <c r="S86" s="2"/>
      <c r="T86" s="2"/>
      <c r="U86" s="2"/>
      <c r="V86" s="2"/>
      <c r="W86" s="2"/>
      <c r="X86" s="2"/>
      <c r="Y86" s="2"/>
      <c r="Z86" s="2"/>
    </row>
    <row r="87" spans="1:26" ht="21" customHeight="1" x14ac:dyDescent="0.55000000000000004">
      <c r="A87" s="5">
        <v>67</v>
      </c>
      <c r="B87" s="6">
        <v>1175.48</v>
      </c>
      <c r="C87" s="6">
        <v>28.36</v>
      </c>
      <c r="D87" s="6">
        <v>32.65</v>
      </c>
      <c r="E87" s="2"/>
      <c r="F87" s="2"/>
      <c r="G87" s="2"/>
      <c r="H87" s="2"/>
      <c r="I87" s="2"/>
      <c r="J87" s="2"/>
      <c r="K87" s="2"/>
      <c r="L87" s="2"/>
      <c r="M87" s="2"/>
      <c r="N87" s="2"/>
      <c r="O87" s="2"/>
      <c r="P87" s="2"/>
      <c r="Q87" s="2"/>
      <c r="R87" s="2"/>
      <c r="S87" s="2"/>
      <c r="T87" s="2"/>
      <c r="U87" s="2"/>
      <c r="V87" s="2"/>
      <c r="W87" s="2"/>
      <c r="X87" s="2"/>
      <c r="Y87" s="2"/>
      <c r="Z87" s="2"/>
    </row>
    <row r="88" spans="1:26" ht="21" customHeight="1" x14ac:dyDescent="0.55000000000000004">
      <c r="A88" s="5">
        <v>68</v>
      </c>
      <c r="B88" s="6">
        <v>1161.53</v>
      </c>
      <c r="C88" s="6">
        <v>32.83</v>
      </c>
      <c r="D88" s="6">
        <v>26.72</v>
      </c>
      <c r="E88" s="2"/>
      <c r="F88" s="2"/>
      <c r="G88" s="2"/>
      <c r="H88" s="2"/>
      <c r="I88" s="2"/>
      <c r="J88" s="2"/>
      <c r="K88" s="2"/>
      <c r="L88" s="2"/>
      <c r="M88" s="2"/>
      <c r="N88" s="2"/>
      <c r="O88" s="2"/>
      <c r="P88" s="2"/>
      <c r="Q88" s="2"/>
      <c r="R88" s="2"/>
      <c r="S88" s="2"/>
      <c r="T88" s="2"/>
      <c r="U88" s="2"/>
      <c r="V88" s="2"/>
      <c r="W88" s="2"/>
      <c r="X88" s="2"/>
      <c r="Y88" s="2"/>
      <c r="Z88" s="2"/>
    </row>
    <row r="89" spans="1:26" ht="21" customHeight="1" x14ac:dyDescent="0.55000000000000004">
      <c r="A89" s="5">
        <v>69</v>
      </c>
      <c r="B89" s="6">
        <v>1093.8800000000001</v>
      </c>
      <c r="C89" s="6">
        <v>18.41</v>
      </c>
      <c r="D89" s="6">
        <v>40.11</v>
      </c>
      <c r="E89" s="2"/>
      <c r="F89" s="2"/>
      <c r="G89" s="2"/>
      <c r="H89" s="2"/>
      <c r="I89" s="2"/>
      <c r="J89" s="2"/>
      <c r="K89" s="2"/>
      <c r="L89" s="2"/>
      <c r="M89" s="2"/>
      <c r="N89" s="2"/>
      <c r="O89" s="2"/>
      <c r="P89" s="2"/>
      <c r="Q89" s="2"/>
      <c r="R89" s="2"/>
      <c r="S89" s="2"/>
      <c r="T89" s="2"/>
      <c r="U89" s="2"/>
      <c r="V89" s="2"/>
      <c r="W89" s="2"/>
      <c r="X89" s="2"/>
      <c r="Y89" s="2"/>
      <c r="Z89" s="2"/>
    </row>
    <row r="90" spans="1:26" ht="21" customHeight="1" x14ac:dyDescent="0.55000000000000004">
      <c r="A90" s="5">
        <v>70</v>
      </c>
      <c r="B90" s="6">
        <v>830.63</v>
      </c>
      <c r="C90" s="6">
        <v>22.62</v>
      </c>
      <c r="D90" s="6">
        <v>26.12</v>
      </c>
      <c r="E90" s="2"/>
      <c r="F90" s="2"/>
      <c r="G90" s="2"/>
      <c r="H90" s="2"/>
      <c r="I90" s="2"/>
      <c r="J90" s="2"/>
      <c r="K90" s="2"/>
      <c r="L90" s="2"/>
      <c r="M90" s="2"/>
      <c r="N90" s="2"/>
      <c r="O90" s="2"/>
      <c r="P90" s="2"/>
      <c r="Q90" s="2"/>
      <c r="R90" s="2"/>
      <c r="S90" s="2"/>
      <c r="T90" s="2"/>
      <c r="U90" s="2"/>
      <c r="V90" s="2"/>
      <c r="W90" s="2"/>
      <c r="X90" s="2"/>
      <c r="Y90" s="2"/>
      <c r="Z90" s="2"/>
    </row>
    <row r="91" spans="1:26" ht="21" customHeight="1" x14ac:dyDescent="0.55000000000000004">
      <c r="A91" s="5">
        <v>71</v>
      </c>
      <c r="B91" s="6">
        <v>1089.03</v>
      </c>
      <c r="C91" s="6">
        <v>22.71</v>
      </c>
      <c r="D91" s="6">
        <v>37.33</v>
      </c>
      <c r="E91" s="2"/>
      <c r="F91" s="2"/>
      <c r="G91" s="2"/>
      <c r="H91" s="2"/>
      <c r="I91" s="2"/>
      <c r="J91" s="2"/>
      <c r="K91" s="2"/>
      <c r="L91" s="2"/>
      <c r="M91" s="2"/>
      <c r="N91" s="2"/>
      <c r="O91" s="2"/>
      <c r="P91" s="2"/>
      <c r="Q91" s="2"/>
      <c r="R91" s="2"/>
      <c r="S91" s="2"/>
      <c r="T91" s="2"/>
      <c r="U91" s="2"/>
      <c r="V91" s="2"/>
      <c r="W91" s="2"/>
      <c r="X91" s="2"/>
      <c r="Y91" s="2"/>
      <c r="Z91" s="2"/>
    </row>
    <row r="92" spans="1:26" ht="21" customHeight="1" x14ac:dyDescent="0.55000000000000004">
      <c r="A92" s="5">
        <v>72</v>
      </c>
      <c r="B92" s="6">
        <v>591.78</v>
      </c>
      <c r="C92" s="6">
        <v>20.05</v>
      </c>
      <c r="D92" s="6">
        <v>18.5</v>
      </c>
      <c r="E92" s="2"/>
      <c r="F92" s="2"/>
      <c r="G92" s="2"/>
      <c r="H92" s="2"/>
      <c r="I92" s="2"/>
      <c r="J92" s="2"/>
      <c r="K92" s="2"/>
      <c r="L92" s="2"/>
      <c r="M92" s="2"/>
      <c r="N92" s="2"/>
      <c r="O92" s="2"/>
      <c r="P92" s="2"/>
      <c r="Q92" s="2"/>
      <c r="R92" s="2"/>
      <c r="S92" s="2"/>
      <c r="T92" s="2"/>
      <c r="U92" s="2"/>
      <c r="V92" s="2"/>
      <c r="W92" s="2"/>
      <c r="X92" s="2"/>
      <c r="Y92" s="2"/>
      <c r="Z92" s="2"/>
    </row>
    <row r="93" spans="1:26" ht="21" customHeight="1" x14ac:dyDescent="0.55000000000000004">
      <c r="A93" s="5">
        <v>73</v>
      </c>
      <c r="B93" s="6">
        <v>716.11</v>
      </c>
      <c r="C93" s="6">
        <v>33.479999999999997</v>
      </c>
      <c r="D93" s="6">
        <v>8.39</v>
      </c>
      <c r="E93" s="2"/>
      <c r="F93" s="2"/>
      <c r="G93" s="2"/>
      <c r="H93" s="2"/>
      <c r="I93" s="2"/>
      <c r="J93" s="2"/>
      <c r="K93" s="2"/>
      <c r="L93" s="2"/>
      <c r="M93" s="2"/>
      <c r="N93" s="2"/>
      <c r="O93" s="2"/>
      <c r="P93" s="2"/>
      <c r="Q93" s="2"/>
      <c r="R93" s="2"/>
      <c r="S93" s="2"/>
      <c r="T93" s="2"/>
      <c r="U93" s="2"/>
      <c r="V93" s="2"/>
      <c r="W93" s="2"/>
      <c r="X93" s="2"/>
      <c r="Y93" s="2"/>
      <c r="Z93" s="2"/>
    </row>
    <row r="94" spans="1:26" ht="21" customHeight="1" x14ac:dyDescent="0.55000000000000004">
      <c r="A94" s="5">
        <v>74</v>
      </c>
      <c r="B94" s="6">
        <v>824.1</v>
      </c>
      <c r="C94" s="6">
        <v>18.52</v>
      </c>
      <c r="D94" s="6">
        <v>31.82</v>
      </c>
      <c r="E94" s="2"/>
      <c r="F94" s="2"/>
      <c r="G94" s="2"/>
      <c r="H94" s="2"/>
      <c r="I94" s="2"/>
      <c r="J94" s="2"/>
      <c r="K94" s="2"/>
      <c r="L94" s="2"/>
      <c r="M94" s="2"/>
      <c r="N94" s="2"/>
      <c r="O94" s="2"/>
      <c r="P94" s="2"/>
      <c r="Q94" s="2"/>
      <c r="R94" s="2"/>
      <c r="S94" s="2"/>
      <c r="T94" s="2"/>
      <c r="U94" s="2"/>
      <c r="V94" s="2"/>
      <c r="W94" s="2"/>
      <c r="X94" s="2"/>
      <c r="Y94" s="2"/>
      <c r="Z94" s="2"/>
    </row>
    <row r="95" spans="1:26" ht="21" customHeight="1" x14ac:dyDescent="0.55000000000000004">
      <c r="A95" s="5">
        <v>75</v>
      </c>
      <c r="B95" s="6">
        <v>1019.29</v>
      </c>
      <c r="C95" s="6">
        <v>29.43</v>
      </c>
      <c r="D95" s="6">
        <v>25.26</v>
      </c>
      <c r="E95" s="2"/>
      <c r="F95" s="2"/>
      <c r="G95" s="2"/>
      <c r="H95" s="2"/>
      <c r="I95" s="2"/>
      <c r="J95" s="2"/>
      <c r="K95" s="2"/>
      <c r="L95" s="2"/>
      <c r="M95" s="2"/>
      <c r="N95" s="2"/>
      <c r="O95" s="2"/>
      <c r="P95" s="2"/>
      <c r="Q95" s="2"/>
      <c r="R95" s="2"/>
      <c r="S95" s="2"/>
      <c r="T95" s="2"/>
      <c r="U95" s="2"/>
      <c r="V95" s="2"/>
      <c r="W95" s="2"/>
      <c r="X95" s="2"/>
      <c r="Y95" s="2"/>
      <c r="Z95" s="2"/>
    </row>
    <row r="96" spans="1:26" ht="21" customHeight="1" x14ac:dyDescent="0.55000000000000004">
      <c r="A96" s="5">
        <v>76</v>
      </c>
      <c r="B96" s="6">
        <v>840.08</v>
      </c>
      <c r="C96" s="6">
        <v>19.21</v>
      </c>
      <c r="D96" s="6">
        <v>29.77</v>
      </c>
      <c r="E96" s="2"/>
      <c r="F96" s="2"/>
      <c r="G96" s="2"/>
      <c r="H96" s="2"/>
      <c r="I96" s="2"/>
      <c r="J96" s="2"/>
      <c r="K96" s="2"/>
      <c r="L96" s="2"/>
      <c r="M96" s="2"/>
      <c r="N96" s="2"/>
      <c r="O96" s="2"/>
      <c r="P96" s="2"/>
      <c r="Q96" s="2"/>
      <c r="R96" s="2"/>
      <c r="S96" s="2"/>
      <c r="T96" s="2"/>
      <c r="U96" s="2"/>
      <c r="V96" s="2"/>
      <c r="W96" s="2"/>
      <c r="X96" s="2"/>
      <c r="Y96" s="2"/>
      <c r="Z96" s="2"/>
    </row>
    <row r="97" spans="1:26" ht="21" customHeight="1" x14ac:dyDescent="0.55000000000000004">
      <c r="A97" s="5">
        <v>77</v>
      </c>
      <c r="B97" s="6">
        <v>595.80999999999995</v>
      </c>
      <c r="C97" s="6">
        <v>24.13</v>
      </c>
      <c r="D97" s="6">
        <v>16.329999999999998</v>
      </c>
      <c r="E97" s="2"/>
      <c r="F97" s="2"/>
      <c r="G97" s="2"/>
      <c r="H97" s="2"/>
      <c r="I97" s="2"/>
      <c r="J97" s="2"/>
      <c r="K97" s="2"/>
      <c r="L97" s="2"/>
      <c r="M97" s="2"/>
      <c r="N97" s="2"/>
      <c r="O97" s="2"/>
      <c r="P97" s="2"/>
      <c r="Q97" s="2"/>
      <c r="R97" s="2"/>
      <c r="S97" s="2"/>
      <c r="T97" s="2"/>
      <c r="U97" s="2"/>
      <c r="V97" s="2"/>
      <c r="W97" s="2"/>
      <c r="X97" s="2"/>
      <c r="Y97" s="2"/>
      <c r="Z97" s="2"/>
    </row>
    <row r="98" spans="1:26" ht="21" customHeight="1" x14ac:dyDescent="0.55000000000000004">
      <c r="A98" s="5">
        <v>78</v>
      </c>
      <c r="B98" s="6">
        <v>740.48</v>
      </c>
      <c r="C98" s="6">
        <v>25.11</v>
      </c>
      <c r="D98" s="6">
        <v>19.64</v>
      </c>
      <c r="E98" s="2"/>
      <c r="F98" s="2"/>
      <c r="G98" s="2"/>
      <c r="H98" s="2"/>
      <c r="I98" s="2"/>
      <c r="J98" s="2"/>
      <c r="K98" s="2"/>
      <c r="L98" s="2"/>
      <c r="M98" s="2"/>
      <c r="N98" s="2"/>
      <c r="O98" s="2"/>
      <c r="P98" s="2"/>
      <c r="Q98" s="2"/>
      <c r="R98" s="2"/>
      <c r="S98" s="2"/>
      <c r="T98" s="2"/>
      <c r="U98" s="2"/>
      <c r="V98" s="2"/>
      <c r="W98" s="2"/>
      <c r="X98" s="2"/>
      <c r="Y98" s="2"/>
      <c r="Z98" s="2"/>
    </row>
    <row r="99" spans="1:26" ht="21" customHeight="1" x14ac:dyDescent="0.55000000000000004">
      <c r="A99" s="5">
        <v>79</v>
      </c>
      <c r="B99" s="6">
        <v>727.1</v>
      </c>
      <c r="C99" s="6">
        <v>21.08</v>
      </c>
      <c r="D99" s="6">
        <v>24.38</v>
      </c>
      <c r="E99" s="2"/>
      <c r="F99" s="2"/>
      <c r="G99" s="2"/>
      <c r="H99" s="2"/>
      <c r="I99" s="2"/>
      <c r="J99" s="2"/>
      <c r="K99" s="2"/>
      <c r="L99" s="2"/>
      <c r="M99" s="2"/>
      <c r="N99" s="2"/>
      <c r="O99" s="2"/>
      <c r="P99" s="2"/>
      <c r="Q99" s="2"/>
      <c r="R99" s="2"/>
      <c r="S99" s="2"/>
      <c r="T99" s="2"/>
      <c r="U99" s="2"/>
      <c r="V99" s="2"/>
      <c r="W99" s="2"/>
      <c r="X99" s="2"/>
      <c r="Y99" s="2"/>
      <c r="Z99" s="2"/>
    </row>
    <row r="100" spans="1:26" ht="21" customHeight="1" x14ac:dyDescent="0.55000000000000004">
      <c r="A100" s="5">
        <v>80</v>
      </c>
      <c r="B100" s="6">
        <v>710.29</v>
      </c>
      <c r="C100" s="6">
        <v>26.86</v>
      </c>
      <c r="D100" s="6">
        <v>17.940000000000001</v>
      </c>
      <c r="E100" s="2"/>
      <c r="F100" s="2"/>
      <c r="G100" s="2"/>
      <c r="H100" s="2"/>
      <c r="I100" s="2"/>
      <c r="J100" s="2"/>
      <c r="K100" s="2"/>
      <c r="L100" s="2"/>
      <c r="M100" s="2"/>
      <c r="N100" s="2"/>
      <c r="O100" s="2"/>
      <c r="P100" s="2"/>
      <c r="Q100" s="2"/>
      <c r="R100" s="2"/>
      <c r="S100" s="2"/>
      <c r="T100" s="2"/>
      <c r="U100" s="2"/>
      <c r="V100" s="2"/>
      <c r="W100" s="2"/>
      <c r="X100" s="2"/>
      <c r="Y100" s="2"/>
      <c r="Z100" s="2"/>
    </row>
    <row r="101" spans="1:26" ht="21" customHeight="1" x14ac:dyDescent="0.55000000000000004">
      <c r="A101" s="5">
        <v>81</v>
      </c>
      <c r="B101" s="6">
        <v>615.85</v>
      </c>
      <c r="C101" s="6">
        <v>27.09</v>
      </c>
      <c r="D101" s="6">
        <v>13.84</v>
      </c>
      <c r="E101" s="2"/>
      <c r="F101" s="2"/>
      <c r="G101" s="2"/>
      <c r="H101" s="2"/>
      <c r="I101" s="2"/>
      <c r="J101" s="2"/>
      <c r="K101" s="2"/>
      <c r="L101" s="2"/>
      <c r="M101" s="2"/>
      <c r="N101" s="2"/>
      <c r="O101" s="2"/>
      <c r="P101" s="2"/>
      <c r="Q101" s="2"/>
      <c r="R101" s="2"/>
      <c r="S101" s="2"/>
      <c r="T101" s="2"/>
      <c r="U101" s="2"/>
      <c r="V101" s="2"/>
      <c r="W101" s="2"/>
      <c r="X101" s="2"/>
      <c r="Y101" s="2"/>
      <c r="Z101" s="2"/>
    </row>
    <row r="102" spans="1:26" ht="21" customHeight="1" x14ac:dyDescent="0.55000000000000004">
      <c r="A102" s="5">
        <v>82</v>
      </c>
      <c r="B102" s="6">
        <v>790.43</v>
      </c>
      <c r="C102" s="6">
        <v>23.39</v>
      </c>
      <c r="D102" s="6">
        <v>23.03</v>
      </c>
      <c r="E102" s="2"/>
      <c r="F102" s="2"/>
      <c r="G102" s="2"/>
      <c r="H102" s="2"/>
      <c r="I102" s="2"/>
      <c r="J102" s="2"/>
      <c r="K102" s="2"/>
      <c r="L102" s="2"/>
      <c r="M102" s="2"/>
      <c r="N102" s="2"/>
      <c r="O102" s="2"/>
      <c r="P102" s="2"/>
      <c r="Q102" s="2"/>
      <c r="R102" s="2"/>
      <c r="S102" s="2"/>
      <c r="T102" s="2"/>
      <c r="U102" s="2"/>
      <c r="V102" s="2"/>
      <c r="W102" s="2"/>
      <c r="X102" s="2"/>
      <c r="Y102" s="2"/>
      <c r="Z102" s="2"/>
    </row>
    <row r="103" spans="1:26" ht="21" customHeight="1" x14ac:dyDescent="0.55000000000000004">
      <c r="A103" s="5">
        <v>83</v>
      </c>
      <c r="B103" s="6">
        <v>813.68</v>
      </c>
      <c r="C103" s="6">
        <v>30.53</v>
      </c>
      <c r="D103" s="6">
        <v>15.12</v>
      </c>
      <c r="E103" s="2"/>
      <c r="F103" s="2"/>
      <c r="G103" s="2"/>
      <c r="H103" s="2"/>
      <c r="I103" s="2"/>
      <c r="J103" s="2"/>
      <c r="K103" s="2"/>
      <c r="L103" s="2"/>
      <c r="M103" s="2"/>
      <c r="N103" s="2"/>
      <c r="O103" s="2"/>
      <c r="P103" s="2"/>
      <c r="Q103" s="2"/>
      <c r="R103" s="2"/>
      <c r="S103" s="2"/>
      <c r="T103" s="2"/>
      <c r="U103" s="2"/>
      <c r="V103" s="2"/>
      <c r="W103" s="2"/>
      <c r="X103" s="2"/>
      <c r="Y103" s="2"/>
      <c r="Z103" s="2"/>
    </row>
    <row r="104" spans="1:26" ht="21" customHeight="1" x14ac:dyDescent="0.55000000000000004">
      <c r="A104" s="5">
        <v>84</v>
      </c>
      <c r="B104" s="6">
        <v>1042.43</v>
      </c>
      <c r="C104" s="6">
        <v>20.72</v>
      </c>
      <c r="D104" s="6">
        <v>37.26</v>
      </c>
      <c r="E104" s="4"/>
      <c r="F104" s="4"/>
      <c r="G104" s="4"/>
      <c r="H104" s="2"/>
      <c r="I104" s="2"/>
      <c r="J104" s="2"/>
      <c r="K104" s="2"/>
      <c r="L104" s="2"/>
      <c r="M104" s="2"/>
      <c r="N104" s="2"/>
      <c r="O104" s="2"/>
      <c r="P104" s="2"/>
      <c r="Q104" s="2"/>
      <c r="R104" s="2"/>
      <c r="S104" s="2"/>
      <c r="T104" s="2"/>
      <c r="U104" s="2"/>
      <c r="V104" s="2"/>
      <c r="W104" s="2"/>
      <c r="X104" s="2"/>
      <c r="Y104" s="2"/>
      <c r="Z104" s="2"/>
    </row>
    <row r="105" spans="1:26" ht="21" customHeight="1" x14ac:dyDescent="0.55000000000000004">
      <c r="A105" s="5">
        <v>85</v>
      </c>
      <c r="B105" s="6">
        <v>1057.47</v>
      </c>
      <c r="C105" s="6">
        <v>21.27</v>
      </c>
      <c r="D105" s="6">
        <v>36.57</v>
      </c>
      <c r="E105" s="6"/>
      <c r="F105" s="6"/>
      <c r="G105" s="7"/>
      <c r="H105" s="2"/>
      <c r="I105" s="2"/>
      <c r="J105" s="2"/>
      <c r="K105" s="2"/>
      <c r="L105" s="2"/>
      <c r="M105" s="2"/>
      <c r="N105" s="2"/>
      <c r="O105" s="2"/>
      <c r="P105" s="2"/>
      <c r="Q105" s="2"/>
      <c r="R105" s="2"/>
      <c r="S105" s="2"/>
      <c r="T105" s="2"/>
      <c r="U105" s="2"/>
      <c r="V105" s="2"/>
      <c r="W105" s="2"/>
      <c r="X105" s="2"/>
      <c r="Y105" s="2"/>
      <c r="Z105" s="2"/>
    </row>
    <row r="106" spans="1:26" ht="21" customHeight="1" x14ac:dyDescent="0.55000000000000004">
      <c r="A106" s="5">
        <v>86</v>
      </c>
      <c r="B106" s="6">
        <v>865.67</v>
      </c>
      <c r="C106" s="6">
        <v>24.03</v>
      </c>
      <c r="D106" s="6">
        <v>22.95</v>
      </c>
      <c r="E106" s="6"/>
      <c r="F106" s="6"/>
      <c r="G106" s="6"/>
      <c r="H106" s="2"/>
      <c r="I106" s="2"/>
      <c r="J106" s="2"/>
      <c r="K106" s="2"/>
      <c r="L106" s="2"/>
      <c r="M106" s="2"/>
      <c r="N106" s="2"/>
      <c r="O106" s="2"/>
      <c r="P106" s="2"/>
      <c r="Q106" s="2"/>
      <c r="R106" s="2"/>
      <c r="S106" s="2"/>
      <c r="T106" s="2"/>
      <c r="U106" s="2"/>
      <c r="V106" s="2"/>
      <c r="W106" s="2"/>
      <c r="X106" s="2"/>
      <c r="Y106" s="2"/>
      <c r="Z106" s="2"/>
    </row>
    <row r="107" spans="1:26" ht="21" customHeight="1" x14ac:dyDescent="0.55000000000000004">
      <c r="A107" s="5">
        <v>87</v>
      </c>
      <c r="B107" s="6">
        <v>822.44</v>
      </c>
      <c r="C107" s="6">
        <v>24.43</v>
      </c>
      <c r="D107" s="6">
        <v>25.49</v>
      </c>
      <c r="E107" s="6"/>
      <c r="F107" s="6"/>
      <c r="G107" s="6"/>
      <c r="H107" s="2"/>
      <c r="I107" s="2"/>
      <c r="J107" s="2"/>
      <c r="K107" s="2"/>
      <c r="L107" s="2"/>
      <c r="M107" s="2"/>
      <c r="N107" s="2"/>
      <c r="O107" s="2"/>
      <c r="P107" s="2"/>
      <c r="Q107" s="2"/>
      <c r="R107" s="2"/>
      <c r="S107" s="2"/>
      <c r="T107" s="2"/>
      <c r="U107" s="2"/>
      <c r="V107" s="2"/>
      <c r="W107" s="2"/>
      <c r="X107" s="2"/>
      <c r="Y107" s="2"/>
      <c r="Z107" s="2"/>
    </row>
    <row r="108" spans="1:26" ht="21" customHeight="1" x14ac:dyDescent="0.55000000000000004">
      <c r="A108" s="5">
        <v>88</v>
      </c>
      <c r="B108" s="6">
        <v>1044.75</v>
      </c>
      <c r="C108" s="6">
        <v>21.51</v>
      </c>
      <c r="D108" s="6">
        <v>36.01</v>
      </c>
      <c r="E108" s="6"/>
      <c r="F108" s="6"/>
      <c r="G108" s="6"/>
      <c r="H108" s="2"/>
      <c r="I108" s="2"/>
      <c r="J108" s="2"/>
      <c r="K108" s="2"/>
      <c r="L108" s="2"/>
      <c r="M108" s="2"/>
      <c r="N108" s="2"/>
      <c r="O108" s="2"/>
      <c r="P108" s="2"/>
      <c r="Q108" s="2"/>
      <c r="R108" s="2"/>
      <c r="S108" s="2"/>
      <c r="T108" s="2"/>
      <c r="U108" s="2"/>
      <c r="V108" s="2"/>
      <c r="W108" s="2"/>
      <c r="X108" s="2"/>
      <c r="Y108" s="2"/>
      <c r="Z108" s="2"/>
    </row>
    <row r="109" spans="1:26" ht="21" customHeight="1" x14ac:dyDescent="0.55000000000000004">
      <c r="A109" s="5">
        <v>89</v>
      </c>
      <c r="B109" s="6">
        <v>1121.0999999999999</v>
      </c>
      <c r="C109" s="6">
        <v>33.619999999999997</v>
      </c>
      <c r="D109" s="6">
        <v>25.61</v>
      </c>
      <c r="E109" s="6"/>
      <c r="F109" s="6"/>
      <c r="G109" s="6"/>
      <c r="H109" s="2"/>
      <c r="I109" s="2"/>
      <c r="J109" s="2"/>
      <c r="K109" s="2"/>
      <c r="L109" s="2"/>
      <c r="M109" s="2"/>
      <c r="N109" s="2"/>
      <c r="O109" s="2"/>
      <c r="P109" s="2"/>
      <c r="Q109" s="2"/>
      <c r="R109" s="2"/>
      <c r="S109" s="2"/>
      <c r="T109" s="2"/>
      <c r="U109" s="2"/>
      <c r="V109" s="2"/>
      <c r="W109" s="2"/>
      <c r="X109" s="2"/>
      <c r="Y109" s="2"/>
      <c r="Z109" s="2"/>
    </row>
    <row r="110" spans="1:26" ht="21" customHeight="1" x14ac:dyDescent="0.55000000000000004">
      <c r="A110" s="5">
        <v>90</v>
      </c>
      <c r="B110" s="6">
        <v>972.44</v>
      </c>
      <c r="C110" s="6">
        <v>32.08</v>
      </c>
      <c r="D110" s="6">
        <v>18.649999999999999</v>
      </c>
      <c r="E110" s="6"/>
      <c r="F110" s="6"/>
      <c r="G110" s="6"/>
      <c r="H110" s="2"/>
      <c r="I110" s="2"/>
      <c r="J110" s="2"/>
      <c r="K110" s="2"/>
      <c r="L110" s="2"/>
      <c r="M110" s="2"/>
      <c r="N110" s="2"/>
      <c r="O110" s="2"/>
      <c r="P110" s="2"/>
      <c r="Q110" s="2"/>
      <c r="R110" s="2"/>
      <c r="S110" s="2"/>
      <c r="T110" s="2"/>
      <c r="U110" s="2"/>
      <c r="V110" s="2"/>
      <c r="W110" s="2"/>
      <c r="X110" s="2"/>
      <c r="Y110" s="2"/>
      <c r="Z110" s="2"/>
    </row>
    <row r="111" spans="1:26" ht="21" customHeight="1" x14ac:dyDescent="0.55000000000000004">
      <c r="A111" s="5">
        <v>91</v>
      </c>
      <c r="B111" s="6">
        <v>1060.3399999999999</v>
      </c>
      <c r="C111" s="6">
        <v>19.82</v>
      </c>
      <c r="D111" s="6">
        <v>40.57</v>
      </c>
      <c r="E111" s="6"/>
      <c r="F111" s="6"/>
      <c r="G111" s="6"/>
      <c r="H111" s="2"/>
      <c r="I111" s="2"/>
      <c r="J111" s="2"/>
      <c r="K111" s="2"/>
      <c r="L111" s="2"/>
      <c r="M111" s="2"/>
      <c r="N111" s="2"/>
      <c r="O111" s="2"/>
      <c r="P111" s="2"/>
      <c r="Q111" s="2"/>
      <c r="R111" s="2"/>
      <c r="S111" s="2"/>
      <c r="T111" s="2"/>
      <c r="U111" s="2"/>
      <c r="V111" s="2"/>
      <c r="W111" s="2"/>
      <c r="X111" s="2"/>
      <c r="Y111" s="2"/>
      <c r="Z111" s="2"/>
    </row>
    <row r="112" spans="1:26" ht="21" customHeight="1" x14ac:dyDescent="0.55000000000000004">
      <c r="A112" s="5">
        <v>92</v>
      </c>
      <c r="B112" s="6">
        <v>1157.3800000000001</v>
      </c>
      <c r="C112" s="6">
        <v>24.28</v>
      </c>
      <c r="D112" s="6">
        <v>36.28</v>
      </c>
      <c r="E112" s="6"/>
      <c r="F112" s="6"/>
      <c r="G112" s="6"/>
      <c r="H112" s="2"/>
      <c r="I112" s="2"/>
      <c r="J112" s="2"/>
      <c r="K112" s="2"/>
      <c r="L112" s="2"/>
      <c r="M112" s="2"/>
      <c r="N112" s="2"/>
      <c r="O112" s="2"/>
      <c r="P112" s="2"/>
      <c r="Q112" s="2"/>
      <c r="R112" s="2"/>
      <c r="S112" s="2"/>
      <c r="T112" s="2"/>
      <c r="U112" s="2"/>
      <c r="V112" s="2"/>
      <c r="W112" s="2"/>
      <c r="X112" s="2"/>
      <c r="Y112" s="2"/>
      <c r="Z112" s="2"/>
    </row>
    <row r="113" spans="1:26" ht="21" customHeight="1" x14ac:dyDescent="0.55000000000000004">
      <c r="A113" s="5">
        <v>93</v>
      </c>
      <c r="B113" s="6">
        <v>528.46</v>
      </c>
      <c r="C113" s="6">
        <v>21.96</v>
      </c>
      <c r="D113" s="6">
        <v>14.63</v>
      </c>
      <c r="E113" s="6"/>
      <c r="F113" s="6"/>
      <c r="G113" s="6"/>
      <c r="H113" s="2"/>
      <c r="I113" s="2"/>
      <c r="J113" s="2"/>
      <c r="K113" s="2"/>
      <c r="L113" s="2"/>
      <c r="M113" s="2"/>
      <c r="N113" s="2"/>
      <c r="O113" s="2"/>
      <c r="P113" s="2"/>
      <c r="Q113" s="2"/>
      <c r="R113" s="2"/>
      <c r="S113" s="2"/>
      <c r="T113" s="2"/>
      <c r="U113" s="2"/>
      <c r="V113" s="2"/>
      <c r="W113" s="2"/>
      <c r="X113" s="2"/>
      <c r="Y113" s="2"/>
      <c r="Z113" s="2"/>
    </row>
    <row r="114" spans="1:26" ht="21" customHeight="1" x14ac:dyDescent="0.55000000000000004">
      <c r="A114" s="5">
        <v>94</v>
      </c>
      <c r="B114" s="6">
        <v>1112.97</v>
      </c>
      <c r="C114" s="6">
        <v>25.67</v>
      </c>
      <c r="D114" s="6">
        <v>31.61</v>
      </c>
      <c r="E114" s="6"/>
      <c r="F114" s="6"/>
      <c r="G114" s="6"/>
      <c r="H114" s="2"/>
      <c r="I114" s="2"/>
      <c r="J114" s="2"/>
      <c r="K114" s="2"/>
      <c r="L114" s="2"/>
      <c r="M114" s="2"/>
      <c r="N114" s="2"/>
      <c r="O114" s="2"/>
      <c r="P114" s="2"/>
      <c r="Q114" s="2"/>
      <c r="R114" s="2"/>
      <c r="S114" s="2"/>
      <c r="T114" s="2"/>
      <c r="U114" s="2"/>
      <c r="V114" s="2"/>
      <c r="W114" s="2"/>
      <c r="X114" s="2"/>
      <c r="Y114" s="2"/>
      <c r="Z114" s="2"/>
    </row>
    <row r="115" spans="1:26" ht="21" customHeight="1" x14ac:dyDescent="0.55000000000000004">
      <c r="A115" s="5">
        <v>95</v>
      </c>
      <c r="B115" s="6">
        <v>693.59</v>
      </c>
      <c r="C115" s="6">
        <v>22.7</v>
      </c>
      <c r="D115" s="6">
        <v>20.260000000000002</v>
      </c>
      <c r="E115" s="6"/>
      <c r="F115" s="6"/>
      <c r="G115" s="6"/>
      <c r="H115" s="2"/>
      <c r="I115" s="2"/>
      <c r="J115" s="2"/>
      <c r="K115" s="2"/>
      <c r="L115" s="2"/>
      <c r="M115" s="2"/>
      <c r="N115" s="2"/>
      <c r="O115" s="2"/>
      <c r="P115" s="2"/>
      <c r="Q115" s="2"/>
      <c r="R115" s="2"/>
      <c r="S115" s="2"/>
      <c r="T115" s="2"/>
      <c r="U115" s="2"/>
      <c r="V115" s="2"/>
      <c r="W115" s="2"/>
      <c r="X115" s="2"/>
      <c r="Y115" s="2"/>
      <c r="Z115" s="2"/>
    </row>
    <row r="116" spans="1:26" ht="21" customHeight="1" x14ac:dyDescent="0.55000000000000004">
      <c r="A116" s="5">
        <v>96</v>
      </c>
      <c r="B116" s="6">
        <v>833.04</v>
      </c>
      <c r="C116" s="6">
        <v>26.53</v>
      </c>
      <c r="D116" s="6">
        <v>21.14</v>
      </c>
      <c r="E116" s="6"/>
      <c r="F116" s="6"/>
      <c r="G116" s="6"/>
      <c r="H116" s="2"/>
      <c r="I116" s="2"/>
      <c r="J116" s="2"/>
      <c r="K116" s="2"/>
      <c r="L116" s="2"/>
      <c r="M116" s="2"/>
      <c r="N116" s="2"/>
      <c r="O116" s="2"/>
      <c r="P116" s="2"/>
      <c r="Q116" s="2"/>
      <c r="R116" s="2"/>
      <c r="S116" s="2"/>
      <c r="T116" s="2"/>
      <c r="U116" s="2"/>
      <c r="V116" s="2"/>
      <c r="W116" s="2"/>
      <c r="X116" s="2"/>
      <c r="Y116" s="2"/>
      <c r="Z116" s="2"/>
    </row>
    <row r="117" spans="1:26" ht="21" customHeight="1" x14ac:dyDescent="0.55000000000000004">
      <c r="A117" s="5">
        <v>97</v>
      </c>
      <c r="B117" s="6">
        <v>1057.73</v>
      </c>
      <c r="C117" s="6">
        <v>33.68</v>
      </c>
      <c r="D117" s="6">
        <v>21.61</v>
      </c>
      <c r="E117" s="6"/>
      <c r="F117" s="6"/>
      <c r="G117" s="6"/>
      <c r="H117" s="2"/>
      <c r="I117" s="2"/>
      <c r="J117" s="2"/>
      <c r="K117" s="2"/>
      <c r="L117" s="2"/>
      <c r="M117" s="2"/>
      <c r="N117" s="2"/>
      <c r="O117" s="2"/>
      <c r="P117" s="2"/>
      <c r="Q117" s="2"/>
      <c r="R117" s="2"/>
      <c r="S117" s="2"/>
      <c r="T117" s="2"/>
      <c r="U117" s="2"/>
      <c r="V117" s="2"/>
      <c r="W117" s="2"/>
      <c r="X117" s="2"/>
      <c r="Y117" s="2"/>
      <c r="Z117" s="2"/>
    </row>
    <row r="118" spans="1:26" ht="21" customHeight="1" x14ac:dyDescent="0.55000000000000004">
      <c r="A118" s="5">
        <v>98</v>
      </c>
      <c r="B118" s="6">
        <v>1002.07</v>
      </c>
      <c r="C118" s="6">
        <v>24.5</v>
      </c>
      <c r="D118" s="6">
        <v>31.34</v>
      </c>
      <c r="E118" s="6"/>
      <c r="F118" s="6"/>
      <c r="G118" s="6"/>
      <c r="H118" s="2"/>
      <c r="I118" s="2"/>
      <c r="J118" s="2"/>
      <c r="K118" s="2"/>
      <c r="L118" s="2"/>
      <c r="M118" s="2"/>
      <c r="N118" s="2"/>
      <c r="O118" s="2"/>
      <c r="P118" s="2"/>
      <c r="Q118" s="2"/>
      <c r="R118" s="2"/>
      <c r="S118" s="2"/>
      <c r="T118" s="2"/>
      <c r="U118" s="2"/>
      <c r="V118" s="2"/>
      <c r="W118" s="2"/>
      <c r="X118" s="2"/>
      <c r="Y118" s="2"/>
      <c r="Z118" s="2"/>
    </row>
    <row r="119" spans="1:26" ht="21" customHeight="1" x14ac:dyDescent="0.55000000000000004">
      <c r="A119" s="5">
        <v>99</v>
      </c>
      <c r="B119" s="6">
        <v>603</v>
      </c>
      <c r="C119" s="6">
        <v>29.05</v>
      </c>
      <c r="D119" s="6">
        <v>9.35</v>
      </c>
      <c r="E119" s="6"/>
      <c r="F119" s="6"/>
      <c r="G119" s="6"/>
      <c r="H119" s="2"/>
      <c r="I119" s="2"/>
      <c r="J119" s="2"/>
      <c r="K119" s="2"/>
      <c r="L119" s="2"/>
      <c r="M119" s="2"/>
      <c r="N119" s="2"/>
      <c r="O119" s="2"/>
      <c r="P119" s="2"/>
      <c r="Q119" s="2"/>
      <c r="R119" s="2"/>
      <c r="S119" s="2"/>
      <c r="T119" s="2"/>
      <c r="U119" s="2"/>
      <c r="V119" s="2"/>
      <c r="W119" s="2"/>
      <c r="X119" s="2"/>
      <c r="Y119" s="2"/>
      <c r="Z119" s="2"/>
    </row>
    <row r="120" spans="1:26" ht="21" customHeight="1" x14ac:dyDescent="0.55000000000000004">
      <c r="A120" s="5">
        <v>100</v>
      </c>
      <c r="B120" s="6">
        <v>961.12</v>
      </c>
      <c r="C120" s="6">
        <v>28.13</v>
      </c>
      <c r="D120" s="6">
        <v>26.16</v>
      </c>
      <c r="E120" s="6"/>
      <c r="F120" s="6"/>
      <c r="G120" s="6"/>
      <c r="H120" s="2"/>
      <c r="I120" s="2"/>
      <c r="J120" s="2"/>
      <c r="K120" s="2"/>
      <c r="L120" s="2"/>
      <c r="M120" s="2"/>
      <c r="N120" s="2"/>
      <c r="O120" s="2"/>
      <c r="P120" s="2"/>
      <c r="Q120" s="2"/>
      <c r="R120" s="2"/>
      <c r="S120" s="2"/>
      <c r="T120" s="2"/>
      <c r="U120" s="2"/>
      <c r="V120" s="2"/>
      <c r="W120" s="2"/>
      <c r="X120" s="2"/>
      <c r="Y120" s="2"/>
      <c r="Z120" s="2"/>
    </row>
    <row r="121" spans="1:26" ht="21" customHeight="1" x14ac:dyDescent="0.55000000000000004">
      <c r="A121" s="5"/>
      <c r="B121" s="8"/>
      <c r="C121" s="8"/>
      <c r="D121" s="2"/>
      <c r="E121" s="6"/>
      <c r="F121" s="6"/>
      <c r="G121" s="6"/>
      <c r="H121" s="2"/>
      <c r="I121" s="2"/>
      <c r="J121" s="2"/>
      <c r="K121" s="2"/>
      <c r="L121" s="2"/>
      <c r="M121" s="2"/>
      <c r="N121" s="2"/>
      <c r="O121" s="2"/>
      <c r="P121" s="2"/>
      <c r="Q121" s="2"/>
      <c r="R121" s="2"/>
      <c r="S121" s="2"/>
      <c r="T121" s="2"/>
      <c r="U121" s="2"/>
      <c r="V121" s="2"/>
      <c r="W121" s="2"/>
      <c r="X121" s="2"/>
      <c r="Y121" s="2"/>
      <c r="Z121" s="2"/>
    </row>
    <row r="122" spans="1:26" ht="21" customHeight="1" x14ac:dyDescent="0.55000000000000004">
      <c r="A122" s="5"/>
      <c r="B122" s="8"/>
      <c r="C122" s="8"/>
      <c r="D122" s="2"/>
      <c r="E122" s="6"/>
      <c r="F122" s="6"/>
      <c r="G122" s="6"/>
      <c r="H122" s="2"/>
      <c r="I122" s="2"/>
      <c r="J122" s="2"/>
      <c r="K122" s="2"/>
      <c r="L122" s="2"/>
      <c r="M122" s="2"/>
      <c r="N122" s="2"/>
      <c r="O122" s="2"/>
      <c r="P122" s="2"/>
      <c r="Q122" s="2"/>
      <c r="R122" s="2"/>
      <c r="S122" s="2"/>
      <c r="T122" s="2"/>
      <c r="U122" s="2"/>
      <c r="V122" s="2"/>
      <c r="W122" s="2"/>
      <c r="X122" s="2"/>
      <c r="Y122" s="2"/>
      <c r="Z122" s="2"/>
    </row>
    <row r="123" spans="1:26" ht="21" customHeight="1" x14ac:dyDescent="0.55000000000000004">
      <c r="A123" s="5"/>
      <c r="B123" s="2"/>
      <c r="C123" s="2"/>
      <c r="D123" s="2"/>
      <c r="E123" s="6"/>
      <c r="F123" s="6"/>
      <c r="G123" s="6"/>
      <c r="H123" s="2"/>
      <c r="I123" s="2"/>
      <c r="J123" s="2"/>
      <c r="K123" s="2"/>
      <c r="L123" s="2"/>
      <c r="M123" s="2"/>
      <c r="N123" s="2"/>
      <c r="O123" s="2"/>
      <c r="P123" s="2"/>
      <c r="Q123" s="2"/>
      <c r="R123" s="2"/>
      <c r="S123" s="2"/>
      <c r="T123" s="2"/>
      <c r="U123" s="2"/>
      <c r="V123" s="2"/>
      <c r="W123" s="2"/>
      <c r="X123" s="2"/>
      <c r="Y123" s="2"/>
      <c r="Z123" s="2"/>
    </row>
    <row r="124" spans="1:26" ht="21" customHeight="1" x14ac:dyDescent="0.55000000000000004">
      <c r="A124" s="5"/>
      <c r="B124" s="2"/>
      <c r="C124" s="2"/>
      <c r="D124" s="2"/>
      <c r="E124" s="6"/>
      <c r="F124" s="6"/>
      <c r="G124" s="6"/>
      <c r="H124" s="2"/>
      <c r="I124" s="2"/>
      <c r="J124" s="2"/>
      <c r="K124" s="2"/>
      <c r="L124" s="2"/>
      <c r="M124" s="2"/>
      <c r="N124" s="2"/>
      <c r="O124" s="2"/>
      <c r="P124" s="2"/>
      <c r="Q124" s="2"/>
      <c r="R124" s="2"/>
      <c r="S124" s="2"/>
      <c r="T124" s="2"/>
      <c r="U124" s="2"/>
      <c r="V124" s="2"/>
      <c r="W124" s="2"/>
      <c r="X124" s="2"/>
      <c r="Y124" s="2"/>
      <c r="Z124" s="2"/>
    </row>
    <row r="125" spans="1:26" ht="21" customHeight="1" x14ac:dyDescent="0.55000000000000004">
      <c r="A125" s="5"/>
      <c r="B125" s="2"/>
      <c r="C125" s="2"/>
      <c r="D125" s="2"/>
      <c r="E125" s="6"/>
      <c r="F125" s="6"/>
      <c r="G125" s="6"/>
      <c r="H125" s="2"/>
      <c r="I125" s="2"/>
      <c r="J125" s="2"/>
      <c r="K125" s="2"/>
      <c r="L125" s="2"/>
      <c r="M125" s="2"/>
      <c r="N125" s="2"/>
      <c r="O125" s="2"/>
      <c r="P125" s="2"/>
      <c r="Q125" s="2"/>
      <c r="R125" s="2"/>
      <c r="S125" s="2"/>
      <c r="T125" s="2"/>
      <c r="U125" s="2"/>
      <c r="V125" s="2"/>
      <c r="W125" s="2"/>
      <c r="X125" s="2"/>
      <c r="Y125" s="2"/>
      <c r="Z125" s="2"/>
    </row>
    <row r="126" spans="1:26" ht="21" customHeight="1" x14ac:dyDescent="0.55000000000000004">
      <c r="A126" s="5"/>
      <c r="B126" s="2"/>
      <c r="C126" s="2"/>
      <c r="D126" s="2"/>
      <c r="E126" s="6"/>
      <c r="F126" s="6"/>
      <c r="G126" s="6"/>
      <c r="H126" s="2"/>
      <c r="I126" s="2"/>
      <c r="J126" s="2"/>
      <c r="K126" s="2"/>
      <c r="L126" s="2"/>
      <c r="M126" s="2"/>
      <c r="N126" s="2"/>
      <c r="O126" s="2"/>
      <c r="P126" s="2"/>
      <c r="Q126" s="2"/>
      <c r="R126" s="2"/>
      <c r="S126" s="2"/>
      <c r="T126" s="2"/>
      <c r="U126" s="2"/>
      <c r="V126" s="2"/>
      <c r="W126" s="2"/>
      <c r="X126" s="2"/>
      <c r="Y126" s="2"/>
      <c r="Z126" s="2"/>
    </row>
    <row r="127" spans="1:26" ht="21" customHeight="1" x14ac:dyDescent="0.55000000000000004">
      <c r="A127" s="5"/>
      <c r="B127" s="2"/>
      <c r="C127" s="2"/>
      <c r="D127" s="2"/>
      <c r="E127" s="6"/>
      <c r="F127" s="6"/>
      <c r="G127" s="6"/>
      <c r="H127" s="2"/>
      <c r="I127" s="2"/>
      <c r="J127" s="2"/>
      <c r="K127" s="2"/>
      <c r="L127" s="2"/>
      <c r="M127" s="2"/>
      <c r="N127" s="2"/>
      <c r="O127" s="2"/>
      <c r="P127" s="2"/>
      <c r="Q127" s="2"/>
      <c r="R127" s="2"/>
      <c r="S127" s="2"/>
      <c r="T127" s="2"/>
      <c r="U127" s="2"/>
      <c r="V127" s="2"/>
      <c r="W127" s="2"/>
      <c r="X127" s="2"/>
      <c r="Y127" s="2"/>
      <c r="Z127" s="2"/>
    </row>
    <row r="128" spans="1:26" ht="21" customHeight="1" x14ac:dyDescent="0.55000000000000004">
      <c r="A128" s="2"/>
      <c r="B128" s="2"/>
      <c r="C128" s="2"/>
      <c r="D128" s="2"/>
      <c r="E128" s="6"/>
      <c r="F128" s="6"/>
      <c r="G128" s="6"/>
      <c r="H128" s="2"/>
      <c r="I128" s="2"/>
      <c r="J128" s="2"/>
      <c r="K128" s="2"/>
      <c r="L128" s="2"/>
      <c r="M128" s="2"/>
      <c r="N128" s="2"/>
      <c r="O128" s="2"/>
      <c r="P128" s="2"/>
      <c r="Q128" s="2"/>
      <c r="R128" s="2"/>
      <c r="S128" s="2"/>
      <c r="T128" s="2"/>
      <c r="U128" s="2"/>
      <c r="V128" s="2"/>
      <c r="W128" s="2"/>
      <c r="X128" s="2"/>
      <c r="Y128" s="2"/>
      <c r="Z128" s="2"/>
    </row>
    <row r="129" spans="1:26" ht="21" customHeight="1" x14ac:dyDescent="0.55000000000000004">
      <c r="A129" s="2"/>
      <c r="B129" s="2"/>
      <c r="C129" s="2"/>
      <c r="D129" s="2"/>
      <c r="E129" s="6"/>
      <c r="F129" s="6"/>
      <c r="G129" s="6"/>
      <c r="H129" s="2"/>
      <c r="I129" s="2"/>
      <c r="J129" s="2"/>
      <c r="K129" s="2"/>
      <c r="L129" s="2"/>
      <c r="M129" s="2"/>
      <c r="N129" s="2"/>
      <c r="O129" s="2"/>
      <c r="P129" s="2"/>
      <c r="Q129" s="2"/>
      <c r="R129" s="2"/>
      <c r="S129" s="2"/>
      <c r="T129" s="2"/>
      <c r="U129" s="2"/>
      <c r="V129" s="2"/>
      <c r="W129" s="2"/>
      <c r="X129" s="2"/>
      <c r="Y129" s="2"/>
      <c r="Z129" s="2"/>
    </row>
    <row r="130" spans="1:26" ht="21" customHeight="1" x14ac:dyDescent="0.55000000000000004">
      <c r="A130" s="2"/>
      <c r="B130" s="2"/>
      <c r="C130" s="2"/>
      <c r="D130" s="2"/>
      <c r="E130" s="6"/>
      <c r="F130" s="6"/>
      <c r="G130" s="6"/>
      <c r="H130" s="2"/>
      <c r="I130" s="2"/>
      <c r="J130" s="2"/>
      <c r="K130" s="2"/>
      <c r="L130" s="2"/>
      <c r="M130" s="2"/>
      <c r="N130" s="2"/>
      <c r="O130" s="2"/>
      <c r="P130" s="2"/>
      <c r="Q130" s="2"/>
      <c r="R130" s="2"/>
      <c r="S130" s="2"/>
      <c r="T130" s="2"/>
      <c r="U130" s="2"/>
      <c r="V130" s="2"/>
      <c r="W130" s="2"/>
      <c r="X130" s="2"/>
      <c r="Y130" s="2"/>
      <c r="Z130" s="2"/>
    </row>
    <row r="131" spans="1:26" ht="21" customHeight="1" x14ac:dyDescent="0.55000000000000004">
      <c r="A131" s="2"/>
      <c r="B131" s="2"/>
      <c r="C131" s="2"/>
      <c r="D131" s="2"/>
      <c r="E131" s="6"/>
      <c r="F131" s="6"/>
      <c r="G131" s="6"/>
      <c r="H131" s="2"/>
      <c r="I131" s="2"/>
      <c r="J131" s="2"/>
      <c r="K131" s="2"/>
      <c r="L131" s="2"/>
      <c r="M131" s="2"/>
      <c r="N131" s="2"/>
      <c r="O131" s="2"/>
      <c r="P131" s="2"/>
      <c r="Q131" s="2"/>
      <c r="R131" s="2"/>
      <c r="S131" s="2"/>
      <c r="T131" s="2"/>
      <c r="U131" s="2"/>
      <c r="V131" s="2"/>
      <c r="W131" s="2"/>
      <c r="X131" s="2"/>
      <c r="Y131" s="2"/>
      <c r="Z131" s="2"/>
    </row>
    <row r="132" spans="1:26" ht="21" customHeight="1" x14ac:dyDescent="0.55000000000000004">
      <c r="A132" s="2"/>
      <c r="B132" s="2"/>
      <c r="C132" s="2"/>
      <c r="D132" s="2"/>
      <c r="E132" s="6"/>
      <c r="F132" s="6"/>
      <c r="G132" s="6"/>
      <c r="H132" s="2"/>
      <c r="I132" s="2"/>
      <c r="J132" s="2"/>
      <c r="K132" s="2"/>
      <c r="L132" s="2"/>
      <c r="M132" s="2"/>
      <c r="N132" s="2"/>
      <c r="O132" s="2"/>
      <c r="P132" s="2"/>
      <c r="Q132" s="2"/>
      <c r="R132" s="2"/>
      <c r="S132" s="2"/>
      <c r="T132" s="2"/>
      <c r="U132" s="2"/>
      <c r="V132" s="2"/>
      <c r="W132" s="2"/>
      <c r="X132" s="2"/>
      <c r="Y132" s="2"/>
      <c r="Z132" s="2"/>
    </row>
    <row r="133" spans="1:26" ht="21" customHeight="1" x14ac:dyDescent="0.55000000000000004">
      <c r="A133" s="2"/>
      <c r="B133" s="2"/>
      <c r="C133" s="2"/>
      <c r="D133" s="2"/>
      <c r="E133" s="6"/>
      <c r="F133" s="6"/>
      <c r="G133" s="6"/>
      <c r="H133" s="2"/>
      <c r="I133" s="2"/>
      <c r="J133" s="2"/>
      <c r="K133" s="2"/>
      <c r="L133" s="2"/>
      <c r="M133" s="2"/>
      <c r="N133" s="2"/>
      <c r="O133" s="2"/>
      <c r="P133" s="2"/>
      <c r="Q133" s="2"/>
      <c r="R133" s="2"/>
      <c r="S133" s="2"/>
      <c r="T133" s="2"/>
      <c r="U133" s="2"/>
      <c r="V133" s="2"/>
      <c r="W133" s="2"/>
      <c r="X133" s="2"/>
      <c r="Y133" s="2"/>
      <c r="Z133" s="2"/>
    </row>
    <row r="134" spans="1:26" ht="21" customHeight="1" x14ac:dyDescent="0.55000000000000004">
      <c r="A134" s="2"/>
      <c r="B134" s="2"/>
      <c r="C134" s="2"/>
      <c r="D134" s="2"/>
      <c r="E134" s="6"/>
      <c r="F134" s="6"/>
      <c r="G134" s="6"/>
      <c r="H134" s="2"/>
      <c r="I134" s="2"/>
      <c r="J134" s="2"/>
      <c r="K134" s="2"/>
      <c r="L134" s="2"/>
      <c r="M134" s="2"/>
      <c r="N134" s="2"/>
      <c r="O134" s="2"/>
      <c r="P134" s="2"/>
      <c r="Q134" s="2"/>
      <c r="R134" s="2"/>
      <c r="S134" s="2"/>
      <c r="T134" s="2"/>
      <c r="U134" s="2"/>
      <c r="V134" s="2"/>
      <c r="W134" s="2"/>
      <c r="X134" s="2"/>
      <c r="Y134" s="2"/>
      <c r="Z134" s="2"/>
    </row>
    <row r="135" spans="1:26" ht="21" customHeight="1" x14ac:dyDescent="0.55000000000000004">
      <c r="A135" s="2"/>
      <c r="B135" s="2"/>
      <c r="C135" s="2"/>
      <c r="D135" s="2"/>
      <c r="E135" s="6"/>
      <c r="F135" s="6"/>
      <c r="G135" s="6"/>
      <c r="H135" s="2"/>
      <c r="I135" s="2"/>
      <c r="J135" s="2"/>
      <c r="K135" s="2"/>
      <c r="L135" s="2"/>
      <c r="M135" s="2"/>
      <c r="N135" s="2"/>
      <c r="O135" s="2"/>
      <c r="P135" s="2"/>
      <c r="Q135" s="2"/>
      <c r="R135" s="2"/>
      <c r="S135" s="2"/>
      <c r="T135" s="2"/>
      <c r="U135" s="2"/>
      <c r="V135" s="2"/>
      <c r="W135" s="2"/>
      <c r="X135" s="2"/>
      <c r="Y135" s="2"/>
      <c r="Z135" s="2"/>
    </row>
    <row r="136" spans="1:26" ht="21" customHeight="1" x14ac:dyDescent="0.55000000000000004">
      <c r="A136" s="2"/>
      <c r="B136" s="2"/>
      <c r="C136" s="2"/>
      <c r="D136" s="2"/>
      <c r="E136" s="6"/>
      <c r="F136" s="6"/>
      <c r="G136" s="6"/>
      <c r="H136" s="2"/>
      <c r="I136" s="2"/>
      <c r="J136" s="2"/>
      <c r="K136" s="2"/>
      <c r="L136" s="2"/>
      <c r="M136" s="2"/>
      <c r="N136" s="2"/>
      <c r="O136" s="2"/>
      <c r="P136" s="2"/>
      <c r="Q136" s="2"/>
      <c r="R136" s="2"/>
      <c r="S136" s="2"/>
      <c r="T136" s="2"/>
      <c r="U136" s="2"/>
      <c r="V136" s="2"/>
      <c r="W136" s="2"/>
      <c r="X136" s="2"/>
      <c r="Y136" s="2"/>
      <c r="Z136" s="2"/>
    </row>
    <row r="137" spans="1:26" ht="21" customHeight="1" x14ac:dyDescent="0.55000000000000004">
      <c r="A137" s="2"/>
      <c r="B137" s="2"/>
      <c r="C137" s="2"/>
      <c r="D137" s="2"/>
      <c r="E137" s="6"/>
      <c r="F137" s="6"/>
      <c r="G137" s="6"/>
      <c r="H137" s="2"/>
      <c r="I137" s="2"/>
      <c r="J137" s="2"/>
      <c r="K137" s="2"/>
      <c r="L137" s="2"/>
      <c r="M137" s="2"/>
      <c r="N137" s="2"/>
      <c r="O137" s="2"/>
      <c r="P137" s="2"/>
      <c r="Q137" s="2"/>
      <c r="R137" s="2"/>
      <c r="S137" s="2"/>
      <c r="T137" s="2"/>
      <c r="U137" s="2"/>
      <c r="V137" s="2"/>
      <c r="W137" s="2"/>
      <c r="X137" s="2"/>
      <c r="Y137" s="2"/>
      <c r="Z137" s="2"/>
    </row>
    <row r="138" spans="1:26" ht="21" customHeight="1" x14ac:dyDescent="0.55000000000000004">
      <c r="A138" s="2"/>
      <c r="B138" s="2"/>
      <c r="C138" s="2"/>
      <c r="D138" s="2"/>
      <c r="E138" s="6"/>
      <c r="F138" s="6"/>
      <c r="G138" s="6"/>
      <c r="H138" s="2"/>
      <c r="I138" s="2"/>
      <c r="J138" s="2"/>
      <c r="K138" s="2"/>
      <c r="L138" s="2"/>
      <c r="M138" s="2"/>
      <c r="N138" s="2"/>
      <c r="O138" s="2"/>
      <c r="P138" s="2"/>
      <c r="Q138" s="2"/>
      <c r="R138" s="2"/>
      <c r="S138" s="2"/>
      <c r="T138" s="2"/>
      <c r="U138" s="2"/>
      <c r="V138" s="2"/>
      <c r="W138" s="2"/>
      <c r="X138" s="2"/>
      <c r="Y138" s="2"/>
      <c r="Z138" s="2"/>
    </row>
    <row r="139" spans="1:26" ht="21" customHeight="1" x14ac:dyDescent="0.55000000000000004">
      <c r="A139" s="2"/>
      <c r="B139" s="2"/>
      <c r="C139" s="2"/>
      <c r="D139" s="2"/>
      <c r="E139" s="6"/>
      <c r="F139" s="6"/>
      <c r="G139" s="6"/>
      <c r="H139" s="2"/>
      <c r="I139" s="2"/>
      <c r="J139" s="2"/>
      <c r="K139" s="2"/>
      <c r="L139" s="2"/>
      <c r="M139" s="2"/>
      <c r="N139" s="2"/>
      <c r="O139" s="2"/>
      <c r="P139" s="2"/>
      <c r="Q139" s="2"/>
      <c r="R139" s="2"/>
      <c r="S139" s="2"/>
      <c r="T139" s="2"/>
      <c r="U139" s="2"/>
      <c r="V139" s="2"/>
      <c r="W139" s="2"/>
      <c r="X139" s="2"/>
      <c r="Y139" s="2"/>
      <c r="Z139" s="2"/>
    </row>
    <row r="140" spans="1:26" ht="21" customHeight="1" x14ac:dyDescent="0.55000000000000004">
      <c r="A140" s="2"/>
      <c r="B140" s="2"/>
      <c r="C140" s="2"/>
      <c r="D140" s="2"/>
      <c r="E140" s="6"/>
      <c r="F140" s="6"/>
      <c r="G140" s="6"/>
      <c r="H140" s="2"/>
      <c r="I140" s="2"/>
      <c r="J140" s="2"/>
      <c r="K140" s="2"/>
      <c r="L140" s="2"/>
      <c r="M140" s="2"/>
      <c r="N140" s="2"/>
      <c r="O140" s="2"/>
      <c r="P140" s="2"/>
      <c r="Q140" s="2"/>
      <c r="R140" s="2"/>
      <c r="S140" s="2"/>
      <c r="T140" s="2"/>
      <c r="U140" s="2"/>
      <c r="V140" s="2"/>
      <c r="W140" s="2"/>
      <c r="X140" s="2"/>
      <c r="Y140" s="2"/>
      <c r="Z140" s="2"/>
    </row>
    <row r="141" spans="1:26" ht="21" customHeight="1" x14ac:dyDescent="0.55000000000000004">
      <c r="A141" s="2"/>
      <c r="B141" s="2"/>
      <c r="C141" s="2"/>
      <c r="D141" s="2"/>
      <c r="E141" s="6"/>
      <c r="F141" s="6"/>
      <c r="G141" s="6"/>
      <c r="H141" s="2"/>
      <c r="I141" s="2"/>
      <c r="J141" s="2"/>
      <c r="K141" s="2"/>
      <c r="L141" s="2"/>
      <c r="M141" s="2"/>
      <c r="N141" s="2"/>
      <c r="O141" s="2"/>
      <c r="P141" s="2"/>
      <c r="Q141" s="2"/>
      <c r="R141" s="2"/>
      <c r="S141" s="2"/>
      <c r="T141" s="2"/>
      <c r="U141" s="2"/>
      <c r="V141" s="2"/>
      <c r="W141" s="2"/>
      <c r="X141" s="2"/>
      <c r="Y141" s="2"/>
      <c r="Z141" s="2"/>
    </row>
    <row r="142" spans="1:26" ht="21" customHeight="1" x14ac:dyDescent="0.55000000000000004">
      <c r="A142" s="2"/>
      <c r="B142" s="2"/>
      <c r="C142" s="2"/>
      <c r="D142" s="2"/>
      <c r="E142" s="6"/>
      <c r="F142" s="6"/>
      <c r="G142" s="6"/>
      <c r="H142" s="2"/>
      <c r="I142" s="2"/>
      <c r="J142" s="2"/>
      <c r="K142" s="2"/>
      <c r="L142" s="2"/>
      <c r="M142" s="2"/>
      <c r="N142" s="2"/>
      <c r="O142" s="2"/>
      <c r="P142" s="2"/>
      <c r="Q142" s="2"/>
      <c r="R142" s="2"/>
      <c r="S142" s="2"/>
      <c r="T142" s="2"/>
      <c r="U142" s="2"/>
      <c r="V142" s="2"/>
      <c r="W142" s="2"/>
      <c r="X142" s="2"/>
      <c r="Y142" s="2"/>
      <c r="Z142" s="2"/>
    </row>
    <row r="143" spans="1:26" ht="21" customHeight="1" x14ac:dyDescent="0.55000000000000004">
      <c r="A143" s="2"/>
      <c r="B143" s="2"/>
      <c r="C143" s="2"/>
      <c r="D143" s="2"/>
      <c r="E143" s="6"/>
      <c r="F143" s="6"/>
      <c r="G143" s="6"/>
      <c r="H143" s="2"/>
      <c r="I143" s="2"/>
      <c r="J143" s="2"/>
      <c r="K143" s="2"/>
      <c r="L143" s="2"/>
      <c r="M143" s="2"/>
      <c r="N143" s="2"/>
      <c r="O143" s="2"/>
      <c r="P143" s="2"/>
      <c r="Q143" s="2"/>
      <c r="R143" s="2"/>
      <c r="S143" s="2"/>
      <c r="T143" s="2"/>
      <c r="U143" s="2"/>
      <c r="V143" s="2"/>
      <c r="W143" s="2"/>
      <c r="X143" s="2"/>
      <c r="Y143" s="2"/>
      <c r="Z143" s="2"/>
    </row>
    <row r="144" spans="1:26" ht="21" customHeight="1" x14ac:dyDescent="0.55000000000000004">
      <c r="A144" s="2"/>
      <c r="B144" s="2"/>
      <c r="C144" s="2"/>
      <c r="D144" s="2"/>
      <c r="E144" s="6"/>
      <c r="F144" s="6"/>
      <c r="G144" s="6"/>
      <c r="H144" s="2"/>
      <c r="I144" s="2"/>
      <c r="J144" s="2"/>
      <c r="K144" s="2"/>
      <c r="L144" s="2"/>
      <c r="M144" s="2"/>
      <c r="N144" s="2"/>
      <c r="O144" s="2"/>
      <c r="P144" s="2"/>
      <c r="Q144" s="2"/>
      <c r="R144" s="2"/>
      <c r="S144" s="2"/>
      <c r="T144" s="2"/>
      <c r="U144" s="2"/>
      <c r="V144" s="2"/>
      <c r="W144" s="2"/>
      <c r="X144" s="2"/>
      <c r="Y144" s="2"/>
      <c r="Z144" s="2"/>
    </row>
    <row r="145" spans="1:26" ht="21" customHeight="1" x14ac:dyDescent="0.55000000000000004">
      <c r="A145" s="2"/>
      <c r="B145" s="2"/>
      <c r="C145" s="2"/>
      <c r="D145" s="2"/>
      <c r="E145" s="6"/>
      <c r="F145" s="6"/>
      <c r="G145" s="6"/>
      <c r="H145" s="2"/>
      <c r="I145" s="2"/>
      <c r="J145" s="2"/>
      <c r="K145" s="2"/>
      <c r="L145" s="2"/>
      <c r="M145" s="2"/>
      <c r="N145" s="2"/>
      <c r="O145" s="2"/>
      <c r="P145" s="2"/>
      <c r="Q145" s="2"/>
      <c r="R145" s="2"/>
      <c r="S145" s="2"/>
      <c r="T145" s="2"/>
      <c r="U145" s="2"/>
      <c r="V145" s="2"/>
      <c r="W145" s="2"/>
      <c r="X145" s="2"/>
      <c r="Y145" s="2"/>
      <c r="Z145" s="2"/>
    </row>
    <row r="146" spans="1:26" ht="21" customHeight="1" x14ac:dyDescent="0.55000000000000004">
      <c r="A146" s="2"/>
      <c r="B146" s="2"/>
      <c r="C146" s="2"/>
      <c r="D146" s="2"/>
      <c r="E146" s="6"/>
      <c r="F146" s="6"/>
      <c r="G146" s="6"/>
      <c r="H146" s="2"/>
      <c r="I146" s="2"/>
      <c r="J146" s="2"/>
      <c r="K146" s="2"/>
      <c r="L146" s="2"/>
      <c r="M146" s="2"/>
      <c r="N146" s="2"/>
      <c r="O146" s="2"/>
      <c r="P146" s="2"/>
      <c r="Q146" s="2"/>
      <c r="R146" s="2"/>
      <c r="S146" s="2"/>
      <c r="T146" s="2"/>
      <c r="U146" s="2"/>
      <c r="V146" s="2"/>
      <c r="W146" s="2"/>
      <c r="X146" s="2"/>
      <c r="Y146" s="2"/>
      <c r="Z146" s="2"/>
    </row>
    <row r="147" spans="1:26" ht="21" customHeight="1" x14ac:dyDescent="0.55000000000000004">
      <c r="A147" s="2"/>
      <c r="B147" s="2"/>
      <c r="C147" s="2"/>
      <c r="D147" s="2"/>
      <c r="E147" s="6"/>
      <c r="F147" s="6"/>
      <c r="G147" s="6"/>
      <c r="H147" s="2"/>
      <c r="I147" s="2"/>
      <c r="J147" s="2"/>
      <c r="K147" s="2"/>
      <c r="L147" s="2"/>
      <c r="M147" s="2"/>
      <c r="N147" s="2"/>
      <c r="O147" s="2"/>
      <c r="P147" s="2"/>
      <c r="Q147" s="2"/>
      <c r="R147" s="2"/>
      <c r="S147" s="2"/>
      <c r="T147" s="2"/>
      <c r="U147" s="2"/>
      <c r="V147" s="2"/>
      <c r="W147" s="2"/>
      <c r="X147" s="2"/>
      <c r="Y147" s="2"/>
      <c r="Z147" s="2"/>
    </row>
    <row r="148" spans="1:26" ht="21" customHeight="1" x14ac:dyDescent="0.55000000000000004">
      <c r="A148" s="2"/>
      <c r="B148" s="2"/>
      <c r="C148" s="2"/>
      <c r="D148" s="2"/>
      <c r="E148" s="6"/>
      <c r="F148" s="6"/>
      <c r="G148" s="6"/>
      <c r="H148" s="2"/>
      <c r="I148" s="2"/>
      <c r="J148" s="2"/>
      <c r="K148" s="2"/>
      <c r="L148" s="2"/>
      <c r="M148" s="2"/>
      <c r="N148" s="2"/>
      <c r="O148" s="2"/>
      <c r="P148" s="2"/>
      <c r="Q148" s="2"/>
      <c r="R148" s="2"/>
      <c r="S148" s="2"/>
      <c r="T148" s="2"/>
      <c r="U148" s="2"/>
      <c r="V148" s="2"/>
      <c r="W148" s="2"/>
      <c r="X148" s="2"/>
      <c r="Y148" s="2"/>
      <c r="Z148" s="2"/>
    </row>
    <row r="149" spans="1:26" ht="21" customHeight="1" x14ac:dyDescent="0.55000000000000004">
      <c r="A149" s="2"/>
      <c r="B149" s="2"/>
      <c r="C149" s="2"/>
      <c r="D149" s="2"/>
      <c r="E149" s="6"/>
      <c r="F149" s="6"/>
      <c r="G149" s="6"/>
      <c r="H149" s="2"/>
      <c r="I149" s="2"/>
      <c r="J149" s="2"/>
      <c r="K149" s="2"/>
      <c r="L149" s="2"/>
      <c r="M149" s="2"/>
      <c r="N149" s="2"/>
      <c r="O149" s="2"/>
      <c r="P149" s="2"/>
      <c r="Q149" s="2"/>
      <c r="R149" s="2"/>
      <c r="S149" s="2"/>
      <c r="T149" s="2"/>
      <c r="U149" s="2"/>
      <c r="V149" s="2"/>
      <c r="W149" s="2"/>
      <c r="X149" s="2"/>
      <c r="Y149" s="2"/>
      <c r="Z149" s="2"/>
    </row>
    <row r="150" spans="1:26" ht="21" customHeight="1" x14ac:dyDescent="0.55000000000000004">
      <c r="A150" s="2"/>
      <c r="B150" s="2"/>
      <c r="C150" s="2"/>
      <c r="D150" s="2"/>
      <c r="E150" s="6"/>
      <c r="F150" s="6"/>
      <c r="G150" s="6"/>
      <c r="H150" s="2"/>
      <c r="I150" s="2"/>
      <c r="J150" s="2"/>
      <c r="K150" s="2"/>
      <c r="L150" s="2"/>
      <c r="M150" s="2"/>
      <c r="N150" s="2"/>
      <c r="O150" s="2"/>
      <c r="P150" s="2"/>
      <c r="Q150" s="2"/>
      <c r="R150" s="2"/>
      <c r="S150" s="2"/>
      <c r="T150" s="2"/>
      <c r="U150" s="2"/>
      <c r="V150" s="2"/>
      <c r="W150" s="2"/>
      <c r="X150" s="2"/>
      <c r="Y150" s="2"/>
      <c r="Z150" s="2"/>
    </row>
    <row r="151" spans="1:26" ht="21" customHeight="1" x14ac:dyDescent="0.55000000000000004">
      <c r="A151" s="2"/>
      <c r="B151" s="2"/>
      <c r="C151" s="2"/>
      <c r="D151" s="2"/>
      <c r="E151" s="6"/>
      <c r="F151" s="6"/>
      <c r="G151" s="6"/>
      <c r="H151" s="2"/>
      <c r="I151" s="2"/>
      <c r="J151" s="2"/>
      <c r="K151" s="2"/>
      <c r="L151" s="2"/>
      <c r="M151" s="2"/>
      <c r="N151" s="2"/>
      <c r="O151" s="2"/>
      <c r="P151" s="2"/>
      <c r="Q151" s="2"/>
      <c r="R151" s="2"/>
      <c r="S151" s="2"/>
      <c r="T151" s="2"/>
      <c r="U151" s="2"/>
      <c r="V151" s="2"/>
      <c r="W151" s="2"/>
      <c r="X151" s="2"/>
      <c r="Y151" s="2"/>
      <c r="Z151" s="2"/>
    </row>
    <row r="152" spans="1:26" ht="21" customHeight="1" x14ac:dyDescent="0.55000000000000004">
      <c r="A152" s="2"/>
      <c r="B152" s="2"/>
      <c r="C152" s="2"/>
      <c r="D152" s="2"/>
      <c r="E152" s="6"/>
      <c r="F152" s="6"/>
      <c r="G152" s="6"/>
      <c r="H152" s="2"/>
      <c r="I152" s="2"/>
      <c r="J152" s="2"/>
      <c r="K152" s="2"/>
      <c r="L152" s="2"/>
      <c r="M152" s="2"/>
      <c r="N152" s="2"/>
      <c r="O152" s="2"/>
      <c r="P152" s="2"/>
      <c r="Q152" s="2"/>
      <c r="R152" s="2"/>
      <c r="S152" s="2"/>
      <c r="T152" s="2"/>
      <c r="U152" s="2"/>
      <c r="V152" s="2"/>
      <c r="W152" s="2"/>
      <c r="X152" s="2"/>
      <c r="Y152" s="2"/>
      <c r="Z152" s="2"/>
    </row>
    <row r="153" spans="1:26" ht="21" customHeight="1" x14ac:dyDescent="0.55000000000000004">
      <c r="A153" s="2"/>
      <c r="B153" s="2"/>
      <c r="C153" s="2"/>
      <c r="D153" s="2"/>
      <c r="E153" s="6"/>
      <c r="F153" s="6"/>
      <c r="G153" s="6"/>
      <c r="H153" s="2"/>
      <c r="I153" s="2"/>
      <c r="J153" s="2"/>
      <c r="K153" s="2"/>
      <c r="L153" s="2"/>
      <c r="M153" s="2"/>
      <c r="N153" s="2"/>
      <c r="O153" s="2"/>
      <c r="P153" s="2"/>
      <c r="Q153" s="2"/>
      <c r="R153" s="2"/>
      <c r="S153" s="2"/>
      <c r="T153" s="2"/>
      <c r="U153" s="2"/>
      <c r="V153" s="2"/>
      <c r="W153" s="2"/>
      <c r="X153" s="2"/>
      <c r="Y153" s="2"/>
      <c r="Z153" s="2"/>
    </row>
    <row r="154" spans="1:26" ht="21" customHeight="1" x14ac:dyDescent="0.55000000000000004">
      <c r="A154" s="2"/>
      <c r="B154" s="2"/>
      <c r="C154" s="2"/>
      <c r="D154" s="2"/>
      <c r="E154" s="6"/>
      <c r="F154" s="6"/>
      <c r="G154" s="6"/>
      <c r="H154" s="2"/>
      <c r="I154" s="2"/>
      <c r="J154" s="2"/>
      <c r="K154" s="2"/>
      <c r="L154" s="2"/>
      <c r="M154" s="2"/>
      <c r="N154" s="2"/>
      <c r="O154" s="2"/>
      <c r="P154" s="2"/>
      <c r="Q154" s="2"/>
      <c r="R154" s="2"/>
      <c r="S154" s="2"/>
      <c r="T154" s="2"/>
      <c r="U154" s="2"/>
      <c r="V154" s="2"/>
      <c r="W154" s="2"/>
      <c r="X154" s="2"/>
      <c r="Y154" s="2"/>
      <c r="Z154" s="2"/>
    </row>
    <row r="155" spans="1:26" ht="21" customHeight="1" x14ac:dyDescent="0.55000000000000004">
      <c r="A155" s="2"/>
      <c r="B155" s="2"/>
      <c r="C155" s="2"/>
      <c r="D155" s="2"/>
      <c r="E155" s="6"/>
      <c r="F155" s="6"/>
      <c r="G155" s="6"/>
      <c r="H155" s="2"/>
      <c r="I155" s="2"/>
      <c r="J155" s="2"/>
      <c r="K155" s="2"/>
      <c r="L155" s="2"/>
      <c r="M155" s="2"/>
      <c r="N155" s="2"/>
      <c r="O155" s="2"/>
      <c r="P155" s="2"/>
      <c r="Q155" s="2"/>
      <c r="R155" s="2"/>
      <c r="S155" s="2"/>
      <c r="T155" s="2"/>
      <c r="U155" s="2"/>
      <c r="V155" s="2"/>
      <c r="W155" s="2"/>
      <c r="X155" s="2"/>
      <c r="Y155" s="2"/>
      <c r="Z155" s="2"/>
    </row>
    <row r="156" spans="1:26" ht="21" customHeight="1" x14ac:dyDescent="0.55000000000000004">
      <c r="A156" s="2"/>
      <c r="B156" s="2"/>
      <c r="C156" s="2"/>
      <c r="D156" s="2"/>
      <c r="E156" s="6"/>
      <c r="F156" s="6"/>
      <c r="G156" s="6"/>
      <c r="H156" s="2"/>
      <c r="I156" s="2"/>
      <c r="J156" s="2"/>
      <c r="K156" s="2"/>
      <c r="L156" s="2"/>
      <c r="M156" s="2"/>
      <c r="N156" s="2"/>
      <c r="O156" s="2"/>
      <c r="P156" s="2"/>
      <c r="Q156" s="2"/>
      <c r="R156" s="2"/>
      <c r="S156" s="2"/>
      <c r="T156" s="2"/>
      <c r="U156" s="2"/>
      <c r="V156" s="2"/>
      <c r="W156" s="2"/>
      <c r="X156" s="2"/>
      <c r="Y156" s="2"/>
      <c r="Z156" s="2"/>
    </row>
    <row r="157" spans="1:26" ht="21" customHeight="1" x14ac:dyDescent="0.55000000000000004">
      <c r="A157" s="2"/>
      <c r="B157" s="2"/>
      <c r="C157" s="2"/>
      <c r="D157" s="2"/>
      <c r="E157" s="6"/>
      <c r="F157" s="6"/>
      <c r="G157" s="6"/>
      <c r="H157" s="2"/>
      <c r="I157" s="2"/>
      <c r="J157" s="2"/>
      <c r="K157" s="2"/>
      <c r="L157" s="2"/>
      <c r="M157" s="2"/>
      <c r="N157" s="2"/>
      <c r="O157" s="2"/>
      <c r="P157" s="2"/>
      <c r="Q157" s="2"/>
      <c r="R157" s="2"/>
      <c r="S157" s="2"/>
      <c r="T157" s="2"/>
      <c r="U157" s="2"/>
      <c r="V157" s="2"/>
      <c r="W157" s="2"/>
      <c r="X157" s="2"/>
      <c r="Y157" s="2"/>
      <c r="Z157" s="2"/>
    </row>
    <row r="158" spans="1:26" ht="21" customHeight="1" x14ac:dyDescent="0.55000000000000004">
      <c r="A158" s="2"/>
      <c r="B158" s="2"/>
      <c r="C158" s="2"/>
      <c r="D158" s="2"/>
      <c r="E158" s="6"/>
      <c r="F158" s="6"/>
      <c r="G158" s="6"/>
      <c r="H158" s="2"/>
      <c r="I158" s="2"/>
      <c r="J158" s="2"/>
      <c r="K158" s="2"/>
      <c r="L158" s="2"/>
      <c r="M158" s="2"/>
      <c r="N158" s="2"/>
      <c r="O158" s="2"/>
      <c r="P158" s="2"/>
      <c r="Q158" s="2"/>
      <c r="R158" s="2"/>
      <c r="S158" s="2"/>
      <c r="T158" s="2"/>
      <c r="U158" s="2"/>
      <c r="V158" s="2"/>
      <c r="W158" s="2"/>
      <c r="X158" s="2"/>
      <c r="Y158" s="2"/>
      <c r="Z158" s="2"/>
    </row>
    <row r="159" spans="1:26" ht="21" customHeight="1" x14ac:dyDescent="0.55000000000000004">
      <c r="A159" s="2"/>
      <c r="B159" s="2"/>
      <c r="C159" s="2"/>
      <c r="D159" s="2"/>
      <c r="E159" s="6"/>
      <c r="F159" s="6"/>
      <c r="G159" s="6"/>
      <c r="H159" s="2"/>
      <c r="I159" s="2"/>
      <c r="J159" s="2"/>
      <c r="K159" s="2"/>
      <c r="L159" s="2"/>
      <c r="M159" s="2"/>
      <c r="N159" s="2"/>
      <c r="O159" s="2"/>
      <c r="P159" s="2"/>
      <c r="Q159" s="2"/>
      <c r="R159" s="2"/>
      <c r="S159" s="2"/>
      <c r="T159" s="2"/>
      <c r="U159" s="2"/>
      <c r="V159" s="2"/>
      <c r="W159" s="2"/>
      <c r="X159" s="2"/>
      <c r="Y159" s="2"/>
      <c r="Z159" s="2"/>
    </row>
    <row r="160" spans="1:26" ht="21" customHeight="1" x14ac:dyDescent="0.55000000000000004">
      <c r="A160" s="2"/>
      <c r="B160" s="2"/>
      <c r="C160" s="2"/>
      <c r="D160" s="2"/>
      <c r="E160" s="6"/>
      <c r="F160" s="6"/>
      <c r="G160" s="6"/>
      <c r="H160" s="2"/>
      <c r="I160" s="2"/>
      <c r="J160" s="2"/>
      <c r="K160" s="2"/>
      <c r="L160" s="2"/>
      <c r="M160" s="2"/>
      <c r="N160" s="2"/>
      <c r="O160" s="2"/>
      <c r="P160" s="2"/>
      <c r="Q160" s="2"/>
      <c r="R160" s="2"/>
      <c r="S160" s="2"/>
      <c r="T160" s="2"/>
      <c r="U160" s="2"/>
      <c r="V160" s="2"/>
      <c r="W160" s="2"/>
      <c r="X160" s="2"/>
      <c r="Y160" s="2"/>
      <c r="Z160" s="2"/>
    </row>
    <row r="161" spans="1:26" ht="21" customHeight="1" x14ac:dyDescent="0.55000000000000004">
      <c r="A161" s="2"/>
      <c r="B161" s="2"/>
      <c r="C161" s="2"/>
      <c r="D161" s="2"/>
      <c r="E161" s="6"/>
      <c r="F161" s="6"/>
      <c r="G161" s="6"/>
      <c r="H161" s="2"/>
      <c r="I161" s="2"/>
      <c r="J161" s="2"/>
      <c r="K161" s="2"/>
      <c r="L161" s="2"/>
      <c r="M161" s="2"/>
      <c r="N161" s="2"/>
      <c r="O161" s="2"/>
      <c r="P161" s="2"/>
      <c r="Q161" s="2"/>
      <c r="R161" s="2"/>
      <c r="S161" s="2"/>
      <c r="T161" s="2"/>
      <c r="U161" s="2"/>
      <c r="V161" s="2"/>
      <c r="W161" s="2"/>
      <c r="X161" s="2"/>
      <c r="Y161" s="2"/>
      <c r="Z161" s="2"/>
    </row>
    <row r="162" spans="1:26" ht="21" customHeight="1" x14ac:dyDescent="0.55000000000000004">
      <c r="A162" s="2"/>
      <c r="B162" s="2"/>
      <c r="C162" s="2"/>
      <c r="D162" s="2"/>
      <c r="E162" s="6"/>
      <c r="F162" s="6"/>
      <c r="G162" s="6"/>
      <c r="H162" s="2"/>
      <c r="I162" s="2"/>
      <c r="J162" s="2"/>
      <c r="K162" s="2"/>
      <c r="L162" s="2"/>
      <c r="M162" s="2"/>
      <c r="N162" s="2"/>
      <c r="O162" s="2"/>
      <c r="P162" s="2"/>
      <c r="Q162" s="2"/>
      <c r="R162" s="2"/>
      <c r="S162" s="2"/>
      <c r="T162" s="2"/>
      <c r="U162" s="2"/>
      <c r="V162" s="2"/>
      <c r="W162" s="2"/>
      <c r="X162" s="2"/>
      <c r="Y162" s="2"/>
      <c r="Z162" s="2"/>
    </row>
    <row r="163" spans="1:26" ht="21" customHeight="1" x14ac:dyDescent="0.55000000000000004">
      <c r="A163" s="2"/>
      <c r="B163" s="2"/>
      <c r="C163" s="2"/>
      <c r="D163" s="2"/>
      <c r="E163" s="6"/>
      <c r="F163" s="6"/>
      <c r="G163" s="6"/>
      <c r="H163" s="2"/>
      <c r="I163" s="2"/>
      <c r="J163" s="2"/>
      <c r="K163" s="2"/>
      <c r="L163" s="2"/>
      <c r="M163" s="2"/>
      <c r="N163" s="2"/>
      <c r="O163" s="2"/>
      <c r="P163" s="2"/>
      <c r="Q163" s="2"/>
      <c r="R163" s="2"/>
      <c r="S163" s="2"/>
      <c r="T163" s="2"/>
      <c r="U163" s="2"/>
      <c r="V163" s="2"/>
      <c r="W163" s="2"/>
      <c r="X163" s="2"/>
      <c r="Y163" s="2"/>
      <c r="Z163" s="2"/>
    </row>
    <row r="164" spans="1:26" ht="21" customHeight="1" x14ac:dyDescent="0.55000000000000004">
      <c r="A164" s="2"/>
      <c r="B164" s="2"/>
      <c r="C164" s="2"/>
      <c r="D164" s="2"/>
      <c r="E164" s="6"/>
      <c r="F164" s="6"/>
      <c r="G164" s="6"/>
      <c r="H164" s="2"/>
      <c r="I164" s="2"/>
      <c r="J164" s="2"/>
      <c r="K164" s="2"/>
      <c r="L164" s="2"/>
      <c r="M164" s="2"/>
      <c r="N164" s="2"/>
      <c r="O164" s="2"/>
      <c r="P164" s="2"/>
      <c r="Q164" s="2"/>
      <c r="R164" s="2"/>
      <c r="S164" s="2"/>
      <c r="T164" s="2"/>
      <c r="U164" s="2"/>
      <c r="V164" s="2"/>
      <c r="W164" s="2"/>
      <c r="X164" s="2"/>
      <c r="Y164" s="2"/>
      <c r="Z164" s="2"/>
    </row>
    <row r="165" spans="1:26" ht="21" customHeight="1" x14ac:dyDescent="0.55000000000000004">
      <c r="A165" s="2"/>
      <c r="B165" s="2"/>
      <c r="C165" s="2"/>
      <c r="D165" s="2"/>
      <c r="E165" s="6"/>
      <c r="F165" s="6"/>
      <c r="G165" s="6"/>
      <c r="H165" s="2"/>
      <c r="I165" s="2"/>
      <c r="J165" s="2"/>
      <c r="K165" s="2"/>
      <c r="L165" s="2"/>
      <c r="M165" s="2"/>
      <c r="N165" s="2"/>
      <c r="O165" s="2"/>
      <c r="P165" s="2"/>
      <c r="Q165" s="2"/>
      <c r="R165" s="2"/>
      <c r="S165" s="2"/>
      <c r="T165" s="2"/>
      <c r="U165" s="2"/>
      <c r="V165" s="2"/>
      <c r="W165" s="2"/>
      <c r="X165" s="2"/>
      <c r="Y165" s="2"/>
      <c r="Z165" s="2"/>
    </row>
    <row r="166" spans="1:26" ht="21" customHeight="1" x14ac:dyDescent="0.55000000000000004">
      <c r="A166" s="2"/>
      <c r="B166" s="2"/>
      <c r="C166" s="2"/>
      <c r="D166" s="2"/>
      <c r="E166" s="6"/>
      <c r="F166" s="6"/>
      <c r="G166" s="6"/>
      <c r="H166" s="2"/>
      <c r="I166" s="2"/>
      <c r="J166" s="2"/>
      <c r="K166" s="2"/>
      <c r="L166" s="2"/>
      <c r="M166" s="2"/>
      <c r="N166" s="2"/>
      <c r="O166" s="2"/>
      <c r="P166" s="2"/>
      <c r="Q166" s="2"/>
      <c r="R166" s="2"/>
      <c r="S166" s="2"/>
      <c r="T166" s="2"/>
      <c r="U166" s="2"/>
      <c r="V166" s="2"/>
      <c r="W166" s="2"/>
      <c r="X166" s="2"/>
      <c r="Y166" s="2"/>
      <c r="Z166" s="2"/>
    </row>
    <row r="167" spans="1:26" ht="21" customHeight="1" x14ac:dyDescent="0.55000000000000004">
      <c r="A167" s="2"/>
      <c r="B167" s="2"/>
      <c r="C167" s="2"/>
      <c r="D167" s="2"/>
      <c r="E167" s="6"/>
      <c r="F167" s="6"/>
      <c r="G167" s="6"/>
      <c r="H167" s="2"/>
      <c r="I167" s="2"/>
      <c r="J167" s="2"/>
      <c r="K167" s="2"/>
      <c r="L167" s="2"/>
      <c r="M167" s="2"/>
      <c r="N167" s="2"/>
      <c r="O167" s="2"/>
      <c r="P167" s="2"/>
      <c r="Q167" s="2"/>
      <c r="R167" s="2"/>
      <c r="S167" s="2"/>
      <c r="T167" s="2"/>
      <c r="U167" s="2"/>
      <c r="V167" s="2"/>
      <c r="W167" s="2"/>
      <c r="X167" s="2"/>
      <c r="Y167" s="2"/>
      <c r="Z167" s="2"/>
    </row>
    <row r="168" spans="1:26" ht="21" customHeight="1" x14ac:dyDescent="0.55000000000000004">
      <c r="A168" s="2"/>
      <c r="B168" s="2"/>
      <c r="C168" s="2"/>
      <c r="D168" s="2"/>
      <c r="E168" s="6"/>
      <c r="F168" s="6"/>
      <c r="G168" s="6"/>
      <c r="H168" s="2"/>
      <c r="I168" s="2"/>
      <c r="J168" s="2"/>
      <c r="K168" s="2"/>
      <c r="L168" s="2"/>
      <c r="M168" s="2"/>
      <c r="N168" s="2"/>
      <c r="O168" s="2"/>
      <c r="P168" s="2"/>
      <c r="Q168" s="2"/>
      <c r="R168" s="2"/>
      <c r="S168" s="2"/>
      <c r="T168" s="2"/>
      <c r="U168" s="2"/>
      <c r="V168" s="2"/>
      <c r="W168" s="2"/>
      <c r="X168" s="2"/>
      <c r="Y168" s="2"/>
      <c r="Z168" s="2"/>
    </row>
    <row r="169" spans="1:26" ht="21" customHeight="1" x14ac:dyDescent="0.55000000000000004">
      <c r="A169" s="2"/>
      <c r="B169" s="2"/>
      <c r="C169" s="2"/>
      <c r="D169" s="2"/>
      <c r="E169" s="6"/>
      <c r="F169" s="6"/>
      <c r="G169" s="6"/>
      <c r="H169" s="2"/>
      <c r="I169" s="2"/>
      <c r="J169" s="2"/>
      <c r="K169" s="2"/>
      <c r="L169" s="2"/>
      <c r="M169" s="2"/>
      <c r="N169" s="2"/>
      <c r="O169" s="2"/>
      <c r="P169" s="2"/>
      <c r="Q169" s="2"/>
      <c r="R169" s="2"/>
      <c r="S169" s="2"/>
      <c r="T169" s="2"/>
      <c r="U169" s="2"/>
      <c r="V169" s="2"/>
      <c r="W169" s="2"/>
      <c r="X169" s="2"/>
      <c r="Y169" s="2"/>
      <c r="Z169" s="2"/>
    </row>
    <row r="170" spans="1:26" ht="21" customHeight="1" x14ac:dyDescent="0.55000000000000004">
      <c r="A170" s="2"/>
      <c r="B170" s="2"/>
      <c r="C170" s="2"/>
      <c r="D170" s="2"/>
      <c r="E170" s="6"/>
      <c r="F170" s="6"/>
      <c r="G170" s="6"/>
      <c r="H170" s="2"/>
      <c r="I170" s="2"/>
      <c r="J170" s="2"/>
      <c r="K170" s="2"/>
      <c r="L170" s="2"/>
      <c r="M170" s="2"/>
      <c r="N170" s="2"/>
      <c r="O170" s="2"/>
      <c r="P170" s="2"/>
      <c r="Q170" s="2"/>
      <c r="R170" s="2"/>
      <c r="S170" s="2"/>
      <c r="T170" s="2"/>
      <c r="U170" s="2"/>
      <c r="V170" s="2"/>
      <c r="W170" s="2"/>
      <c r="X170" s="2"/>
      <c r="Y170" s="2"/>
      <c r="Z170" s="2"/>
    </row>
    <row r="171" spans="1:26" ht="21" customHeight="1" x14ac:dyDescent="0.55000000000000004">
      <c r="A171" s="2"/>
      <c r="B171" s="2"/>
      <c r="C171" s="2"/>
      <c r="D171" s="2"/>
      <c r="E171" s="6"/>
      <c r="F171" s="6"/>
      <c r="G171" s="6"/>
      <c r="H171" s="2"/>
      <c r="I171" s="2"/>
      <c r="J171" s="2"/>
      <c r="K171" s="2"/>
      <c r="L171" s="2"/>
      <c r="M171" s="2"/>
      <c r="N171" s="2"/>
      <c r="O171" s="2"/>
      <c r="P171" s="2"/>
      <c r="Q171" s="2"/>
      <c r="R171" s="2"/>
      <c r="S171" s="2"/>
      <c r="T171" s="2"/>
      <c r="U171" s="2"/>
      <c r="V171" s="2"/>
      <c r="W171" s="2"/>
      <c r="X171" s="2"/>
      <c r="Y171" s="2"/>
      <c r="Z171" s="2"/>
    </row>
    <row r="172" spans="1:26" ht="21" customHeight="1" x14ac:dyDescent="0.55000000000000004">
      <c r="A172" s="2"/>
      <c r="B172" s="2"/>
      <c r="C172" s="2"/>
      <c r="D172" s="2"/>
      <c r="E172" s="6"/>
      <c r="F172" s="6"/>
      <c r="G172" s="6"/>
      <c r="H172" s="2"/>
      <c r="I172" s="2"/>
      <c r="J172" s="2"/>
      <c r="K172" s="2"/>
      <c r="L172" s="2"/>
      <c r="M172" s="2"/>
      <c r="N172" s="2"/>
      <c r="O172" s="2"/>
      <c r="P172" s="2"/>
      <c r="Q172" s="2"/>
      <c r="R172" s="2"/>
      <c r="S172" s="2"/>
      <c r="T172" s="2"/>
      <c r="U172" s="2"/>
      <c r="V172" s="2"/>
      <c r="W172" s="2"/>
      <c r="X172" s="2"/>
      <c r="Y172" s="2"/>
      <c r="Z172" s="2"/>
    </row>
    <row r="173" spans="1:26" ht="21" customHeight="1" x14ac:dyDescent="0.55000000000000004">
      <c r="A173" s="2"/>
      <c r="B173" s="2"/>
      <c r="C173" s="2"/>
      <c r="D173" s="2"/>
      <c r="E173" s="6"/>
      <c r="F173" s="6"/>
      <c r="G173" s="6"/>
      <c r="H173" s="2"/>
      <c r="I173" s="2"/>
      <c r="J173" s="2"/>
      <c r="K173" s="2"/>
      <c r="L173" s="2"/>
      <c r="M173" s="2"/>
      <c r="N173" s="2"/>
      <c r="O173" s="2"/>
      <c r="P173" s="2"/>
      <c r="Q173" s="2"/>
      <c r="R173" s="2"/>
      <c r="S173" s="2"/>
      <c r="T173" s="2"/>
      <c r="U173" s="2"/>
      <c r="V173" s="2"/>
      <c r="W173" s="2"/>
      <c r="X173" s="2"/>
      <c r="Y173" s="2"/>
      <c r="Z173" s="2"/>
    </row>
    <row r="174" spans="1:26" ht="21" customHeight="1" x14ac:dyDescent="0.55000000000000004">
      <c r="A174" s="2"/>
      <c r="B174" s="2"/>
      <c r="C174" s="2"/>
      <c r="D174" s="2"/>
      <c r="E174" s="6"/>
      <c r="F174" s="6"/>
      <c r="G174" s="6"/>
      <c r="H174" s="2"/>
      <c r="I174" s="2"/>
      <c r="J174" s="2"/>
      <c r="K174" s="2"/>
      <c r="L174" s="2"/>
      <c r="M174" s="2"/>
      <c r="N174" s="2"/>
      <c r="O174" s="2"/>
      <c r="P174" s="2"/>
      <c r="Q174" s="2"/>
      <c r="R174" s="2"/>
      <c r="S174" s="2"/>
      <c r="T174" s="2"/>
      <c r="U174" s="2"/>
      <c r="V174" s="2"/>
      <c r="W174" s="2"/>
      <c r="X174" s="2"/>
      <c r="Y174" s="2"/>
      <c r="Z174" s="2"/>
    </row>
    <row r="175" spans="1:26" ht="21" customHeight="1" x14ac:dyDescent="0.55000000000000004">
      <c r="A175" s="2"/>
      <c r="B175" s="2"/>
      <c r="C175" s="2"/>
      <c r="D175" s="2"/>
      <c r="E175" s="6"/>
      <c r="F175" s="6"/>
      <c r="G175" s="6"/>
      <c r="H175" s="2"/>
      <c r="I175" s="2"/>
      <c r="J175" s="2"/>
      <c r="K175" s="2"/>
      <c r="L175" s="2"/>
      <c r="M175" s="2"/>
      <c r="N175" s="2"/>
      <c r="O175" s="2"/>
      <c r="P175" s="2"/>
      <c r="Q175" s="2"/>
      <c r="R175" s="2"/>
      <c r="S175" s="2"/>
      <c r="T175" s="2"/>
      <c r="U175" s="2"/>
      <c r="V175" s="2"/>
      <c r="W175" s="2"/>
      <c r="X175" s="2"/>
      <c r="Y175" s="2"/>
      <c r="Z175" s="2"/>
    </row>
    <row r="176" spans="1:26" ht="21" customHeight="1" x14ac:dyDescent="0.55000000000000004">
      <c r="A176" s="2"/>
      <c r="B176" s="2"/>
      <c r="C176" s="2"/>
      <c r="D176" s="2"/>
      <c r="E176" s="6"/>
      <c r="F176" s="6"/>
      <c r="G176" s="6"/>
      <c r="H176" s="2"/>
      <c r="I176" s="2"/>
      <c r="J176" s="2"/>
      <c r="K176" s="2"/>
      <c r="L176" s="2"/>
      <c r="M176" s="2"/>
      <c r="N176" s="2"/>
      <c r="O176" s="2"/>
      <c r="P176" s="2"/>
      <c r="Q176" s="2"/>
      <c r="R176" s="2"/>
      <c r="S176" s="2"/>
      <c r="T176" s="2"/>
      <c r="U176" s="2"/>
      <c r="V176" s="2"/>
      <c r="W176" s="2"/>
      <c r="X176" s="2"/>
      <c r="Y176" s="2"/>
      <c r="Z176" s="2"/>
    </row>
    <row r="177" spans="1:26" ht="21" customHeight="1" x14ac:dyDescent="0.55000000000000004">
      <c r="A177" s="2"/>
      <c r="B177" s="2"/>
      <c r="C177" s="2"/>
      <c r="D177" s="2"/>
      <c r="E177" s="6"/>
      <c r="F177" s="6"/>
      <c r="G177" s="6"/>
      <c r="H177" s="2"/>
      <c r="I177" s="2"/>
      <c r="J177" s="2"/>
      <c r="K177" s="2"/>
      <c r="L177" s="2"/>
      <c r="M177" s="2"/>
      <c r="N177" s="2"/>
      <c r="O177" s="2"/>
      <c r="P177" s="2"/>
      <c r="Q177" s="2"/>
      <c r="R177" s="2"/>
      <c r="S177" s="2"/>
      <c r="T177" s="2"/>
      <c r="U177" s="2"/>
      <c r="V177" s="2"/>
      <c r="W177" s="2"/>
      <c r="X177" s="2"/>
      <c r="Y177" s="2"/>
      <c r="Z177" s="2"/>
    </row>
    <row r="178" spans="1:26" ht="21" customHeight="1" x14ac:dyDescent="0.55000000000000004">
      <c r="A178" s="2"/>
      <c r="B178" s="2"/>
      <c r="C178" s="2"/>
      <c r="D178" s="2"/>
      <c r="E178" s="6"/>
      <c r="F178" s="6"/>
      <c r="G178" s="6"/>
      <c r="H178" s="2"/>
      <c r="I178" s="2"/>
      <c r="J178" s="2"/>
      <c r="K178" s="2"/>
      <c r="L178" s="2"/>
      <c r="M178" s="2"/>
      <c r="N178" s="2"/>
      <c r="O178" s="2"/>
      <c r="P178" s="2"/>
      <c r="Q178" s="2"/>
      <c r="R178" s="2"/>
      <c r="S178" s="2"/>
      <c r="T178" s="2"/>
      <c r="U178" s="2"/>
      <c r="V178" s="2"/>
      <c r="W178" s="2"/>
      <c r="X178" s="2"/>
      <c r="Y178" s="2"/>
      <c r="Z178" s="2"/>
    </row>
    <row r="179" spans="1:26" ht="21" customHeight="1" x14ac:dyDescent="0.55000000000000004">
      <c r="A179" s="2"/>
      <c r="B179" s="2"/>
      <c r="C179" s="2"/>
      <c r="D179" s="2"/>
      <c r="E179" s="6"/>
      <c r="F179" s="6"/>
      <c r="G179" s="6"/>
      <c r="H179" s="2"/>
      <c r="I179" s="2"/>
      <c r="J179" s="2"/>
      <c r="K179" s="2"/>
      <c r="L179" s="2"/>
      <c r="M179" s="2"/>
      <c r="N179" s="2"/>
      <c r="O179" s="2"/>
      <c r="P179" s="2"/>
      <c r="Q179" s="2"/>
      <c r="R179" s="2"/>
      <c r="S179" s="2"/>
      <c r="T179" s="2"/>
      <c r="U179" s="2"/>
      <c r="V179" s="2"/>
      <c r="W179" s="2"/>
      <c r="X179" s="2"/>
      <c r="Y179" s="2"/>
      <c r="Z179" s="2"/>
    </row>
    <row r="180" spans="1:26" ht="21" customHeight="1" x14ac:dyDescent="0.55000000000000004">
      <c r="A180" s="2"/>
      <c r="B180" s="2"/>
      <c r="C180" s="2"/>
      <c r="D180" s="2"/>
      <c r="E180" s="6"/>
      <c r="F180" s="6"/>
      <c r="G180" s="6"/>
      <c r="H180" s="2"/>
      <c r="I180" s="2"/>
      <c r="J180" s="2"/>
      <c r="K180" s="2"/>
      <c r="L180" s="2"/>
      <c r="M180" s="2"/>
      <c r="N180" s="2"/>
      <c r="O180" s="2"/>
      <c r="P180" s="2"/>
      <c r="Q180" s="2"/>
      <c r="R180" s="2"/>
      <c r="S180" s="2"/>
      <c r="T180" s="2"/>
      <c r="U180" s="2"/>
      <c r="V180" s="2"/>
      <c r="W180" s="2"/>
      <c r="X180" s="2"/>
      <c r="Y180" s="2"/>
      <c r="Z180" s="2"/>
    </row>
    <row r="181" spans="1:26" ht="21" customHeight="1" x14ac:dyDescent="0.55000000000000004">
      <c r="A181" s="2"/>
      <c r="B181" s="2"/>
      <c r="C181" s="2"/>
      <c r="D181" s="2"/>
      <c r="E181" s="6"/>
      <c r="F181" s="6"/>
      <c r="G181" s="6"/>
      <c r="H181" s="2"/>
      <c r="I181" s="2"/>
      <c r="J181" s="2"/>
      <c r="K181" s="2"/>
      <c r="L181" s="2"/>
      <c r="M181" s="2"/>
      <c r="N181" s="2"/>
      <c r="O181" s="2"/>
      <c r="P181" s="2"/>
      <c r="Q181" s="2"/>
      <c r="R181" s="2"/>
      <c r="S181" s="2"/>
      <c r="T181" s="2"/>
      <c r="U181" s="2"/>
      <c r="V181" s="2"/>
      <c r="W181" s="2"/>
      <c r="X181" s="2"/>
      <c r="Y181" s="2"/>
      <c r="Z181" s="2"/>
    </row>
    <row r="182" spans="1:26" ht="21" customHeight="1" x14ac:dyDescent="0.55000000000000004">
      <c r="A182" s="2"/>
      <c r="B182" s="2"/>
      <c r="C182" s="2"/>
      <c r="D182" s="2"/>
      <c r="E182" s="6"/>
      <c r="F182" s="6"/>
      <c r="G182" s="6"/>
      <c r="H182" s="2"/>
      <c r="I182" s="2"/>
      <c r="J182" s="2"/>
      <c r="K182" s="2"/>
      <c r="L182" s="2"/>
      <c r="M182" s="2"/>
      <c r="N182" s="2"/>
      <c r="O182" s="2"/>
      <c r="P182" s="2"/>
      <c r="Q182" s="2"/>
      <c r="R182" s="2"/>
      <c r="S182" s="2"/>
      <c r="T182" s="2"/>
      <c r="U182" s="2"/>
      <c r="V182" s="2"/>
      <c r="W182" s="2"/>
      <c r="X182" s="2"/>
      <c r="Y182" s="2"/>
      <c r="Z182" s="2"/>
    </row>
    <row r="183" spans="1:26" ht="21" customHeight="1" x14ac:dyDescent="0.55000000000000004">
      <c r="A183" s="2"/>
      <c r="B183" s="2"/>
      <c r="C183" s="2"/>
      <c r="D183" s="2"/>
      <c r="E183" s="6"/>
      <c r="F183" s="6"/>
      <c r="G183" s="6"/>
      <c r="H183" s="2"/>
      <c r="I183" s="2"/>
      <c r="J183" s="2"/>
      <c r="K183" s="2"/>
      <c r="L183" s="2"/>
      <c r="M183" s="2"/>
      <c r="N183" s="2"/>
      <c r="O183" s="2"/>
      <c r="P183" s="2"/>
      <c r="Q183" s="2"/>
      <c r="R183" s="2"/>
      <c r="S183" s="2"/>
      <c r="T183" s="2"/>
      <c r="U183" s="2"/>
      <c r="V183" s="2"/>
      <c r="W183" s="2"/>
      <c r="X183" s="2"/>
      <c r="Y183" s="2"/>
      <c r="Z183" s="2"/>
    </row>
    <row r="184" spans="1:26" ht="21" customHeight="1" x14ac:dyDescent="0.55000000000000004">
      <c r="A184" s="2"/>
      <c r="B184" s="2"/>
      <c r="C184" s="2"/>
      <c r="D184" s="2"/>
      <c r="E184" s="6"/>
      <c r="F184" s="6"/>
      <c r="G184" s="6"/>
      <c r="H184" s="2"/>
      <c r="I184" s="2"/>
      <c r="J184" s="2"/>
      <c r="K184" s="2"/>
      <c r="L184" s="2"/>
      <c r="M184" s="2"/>
      <c r="N184" s="2"/>
      <c r="O184" s="2"/>
      <c r="P184" s="2"/>
      <c r="Q184" s="2"/>
      <c r="R184" s="2"/>
      <c r="S184" s="2"/>
      <c r="T184" s="2"/>
      <c r="U184" s="2"/>
      <c r="V184" s="2"/>
      <c r="W184" s="2"/>
      <c r="X184" s="2"/>
      <c r="Y184" s="2"/>
      <c r="Z184" s="2"/>
    </row>
    <row r="185" spans="1:26" ht="21" customHeight="1" x14ac:dyDescent="0.55000000000000004">
      <c r="A185" s="2"/>
      <c r="B185" s="2"/>
      <c r="C185" s="2"/>
      <c r="D185" s="2"/>
      <c r="E185" s="6"/>
      <c r="F185" s="6"/>
      <c r="G185" s="6"/>
      <c r="H185" s="2"/>
      <c r="I185" s="2"/>
      <c r="J185" s="2"/>
      <c r="K185" s="2"/>
      <c r="L185" s="2"/>
      <c r="M185" s="2"/>
      <c r="N185" s="2"/>
      <c r="O185" s="2"/>
      <c r="P185" s="2"/>
      <c r="Q185" s="2"/>
      <c r="R185" s="2"/>
      <c r="S185" s="2"/>
      <c r="T185" s="2"/>
      <c r="U185" s="2"/>
      <c r="V185" s="2"/>
      <c r="W185" s="2"/>
      <c r="X185" s="2"/>
      <c r="Y185" s="2"/>
      <c r="Z185" s="2"/>
    </row>
    <row r="186" spans="1:26" ht="21" customHeight="1" x14ac:dyDescent="0.55000000000000004">
      <c r="A186" s="2"/>
      <c r="B186" s="2"/>
      <c r="C186" s="2"/>
      <c r="D186" s="2"/>
      <c r="E186" s="6"/>
      <c r="F186" s="6"/>
      <c r="G186" s="6"/>
      <c r="H186" s="2"/>
      <c r="I186" s="2"/>
      <c r="J186" s="2"/>
      <c r="K186" s="2"/>
      <c r="L186" s="2"/>
      <c r="M186" s="2"/>
      <c r="N186" s="2"/>
      <c r="O186" s="2"/>
      <c r="P186" s="2"/>
      <c r="Q186" s="2"/>
      <c r="R186" s="2"/>
      <c r="S186" s="2"/>
      <c r="T186" s="2"/>
      <c r="U186" s="2"/>
      <c r="V186" s="2"/>
      <c r="W186" s="2"/>
      <c r="X186" s="2"/>
      <c r="Y186" s="2"/>
      <c r="Z186" s="2"/>
    </row>
    <row r="187" spans="1:26" ht="21" customHeight="1" x14ac:dyDescent="0.55000000000000004">
      <c r="A187" s="2"/>
      <c r="B187" s="2"/>
      <c r="C187" s="2"/>
      <c r="D187" s="2"/>
      <c r="E187" s="6"/>
      <c r="F187" s="6"/>
      <c r="G187" s="6"/>
      <c r="H187" s="2"/>
      <c r="I187" s="2"/>
      <c r="J187" s="2"/>
      <c r="K187" s="2"/>
      <c r="L187" s="2"/>
      <c r="M187" s="2"/>
      <c r="N187" s="2"/>
      <c r="O187" s="2"/>
      <c r="P187" s="2"/>
      <c r="Q187" s="2"/>
      <c r="R187" s="2"/>
      <c r="S187" s="2"/>
      <c r="T187" s="2"/>
      <c r="U187" s="2"/>
      <c r="V187" s="2"/>
      <c r="W187" s="2"/>
      <c r="X187" s="2"/>
      <c r="Y187" s="2"/>
      <c r="Z187" s="2"/>
    </row>
    <row r="188" spans="1:26" ht="21" customHeight="1" x14ac:dyDescent="0.55000000000000004">
      <c r="A188" s="2"/>
      <c r="B188" s="2"/>
      <c r="C188" s="2"/>
      <c r="D188" s="2"/>
      <c r="E188" s="6"/>
      <c r="F188" s="6"/>
      <c r="G188" s="6"/>
      <c r="H188" s="2"/>
      <c r="I188" s="2"/>
      <c r="J188" s="2"/>
      <c r="K188" s="2"/>
      <c r="L188" s="2"/>
      <c r="M188" s="2"/>
      <c r="N188" s="2"/>
      <c r="O188" s="2"/>
      <c r="P188" s="2"/>
      <c r="Q188" s="2"/>
      <c r="R188" s="2"/>
      <c r="S188" s="2"/>
      <c r="T188" s="2"/>
      <c r="U188" s="2"/>
      <c r="V188" s="2"/>
      <c r="W188" s="2"/>
      <c r="X188" s="2"/>
      <c r="Y188" s="2"/>
      <c r="Z188" s="2"/>
    </row>
    <row r="189" spans="1:26" ht="21" customHeight="1" x14ac:dyDescent="0.55000000000000004">
      <c r="A189" s="2"/>
      <c r="B189" s="2"/>
      <c r="C189" s="2"/>
      <c r="D189" s="2"/>
      <c r="E189" s="6"/>
      <c r="F189" s="6"/>
      <c r="G189" s="6"/>
      <c r="H189" s="2"/>
      <c r="I189" s="2"/>
      <c r="J189" s="2"/>
      <c r="K189" s="2"/>
      <c r="L189" s="2"/>
      <c r="M189" s="2"/>
      <c r="N189" s="2"/>
      <c r="O189" s="2"/>
      <c r="P189" s="2"/>
      <c r="Q189" s="2"/>
      <c r="R189" s="2"/>
      <c r="S189" s="2"/>
      <c r="T189" s="2"/>
      <c r="U189" s="2"/>
      <c r="V189" s="2"/>
      <c r="W189" s="2"/>
      <c r="X189" s="2"/>
      <c r="Y189" s="2"/>
      <c r="Z189" s="2"/>
    </row>
    <row r="190" spans="1:26" ht="21" customHeight="1" x14ac:dyDescent="0.55000000000000004">
      <c r="A190" s="2"/>
      <c r="B190" s="2"/>
      <c r="C190" s="2"/>
      <c r="D190" s="2"/>
      <c r="E190" s="6"/>
      <c r="F190" s="6"/>
      <c r="G190" s="6"/>
      <c r="H190" s="2"/>
      <c r="I190" s="2"/>
      <c r="J190" s="2"/>
      <c r="K190" s="2"/>
      <c r="L190" s="2"/>
      <c r="M190" s="2"/>
      <c r="N190" s="2"/>
      <c r="O190" s="2"/>
      <c r="P190" s="2"/>
      <c r="Q190" s="2"/>
      <c r="R190" s="2"/>
      <c r="S190" s="2"/>
      <c r="T190" s="2"/>
      <c r="U190" s="2"/>
      <c r="V190" s="2"/>
      <c r="W190" s="2"/>
      <c r="X190" s="2"/>
      <c r="Y190" s="2"/>
      <c r="Z190" s="2"/>
    </row>
    <row r="191" spans="1:26" ht="21" customHeight="1" x14ac:dyDescent="0.55000000000000004">
      <c r="A191" s="2"/>
      <c r="B191" s="2"/>
      <c r="C191" s="2"/>
      <c r="D191" s="2"/>
      <c r="E191" s="6"/>
      <c r="F191" s="6"/>
      <c r="G191" s="6"/>
      <c r="H191" s="2"/>
      <c r="I191" s="2"/>
      <c r="J191" s="2"/>
      <c r="K191" s="2"/>
      <c r="L191" s="2"/>
      <c r="M191" s="2"/>
      <c r="N191" s="2"/>
      <c r="O191" s="2"/>
      <c r="P191" s="2"/>
      <c r="Q191" s="2"/>
      <c r="R191" s="2"/>
      <c r="S191" s="2"/>
      <c r="T191" s="2"/>
      <c r="U191" s="2"/>
      <c r="V191" s="2"/>
      <c r="W191" s="2"/>
      <c r="X191" s="2"/>
      <c r="Y191" s="2"/>
      <c r="Z191" s="2"/>
    </row>
    <row r="192" spans="1:26" ht="21" customHeight="1" x14ac:dyDescent="0.55000000000000004">
      <c r="A192" s="2"/>
      <c r="B192" s="2"/>
      <c r="C192" s="2"/>
      <c r="D192" s="2"/>
      <c r="E192" s="6"/>
      <c r="F192" s="6"/>
      <c r="G192" s="6"/>
      <c r="H192" s="2"/>
      <c r="I192" s="2"/>
      <c r="J192" s="2"/>
      <c r="K192" s="2"/>
      <c r="L192" s="2"/>
      <c r="M192" s="2"/>
      <c r="N192" s="2"/>
      <c r="O192" s="2"/>
      <c r="P192" s="2"/>
      <c r="Q192" s="2"/>
      <c r="R192" s="2"/>
      <c r="S192" s="2"/>
      <c r="T192" s="2"/>
      <c r="U192" s="2"/>
      <c r="V192" s="2"/>
      <c r="W192" s="2"/>
      <c r="X192" s="2"/>
      <c r="Y192" s="2"/>
      <c r="Z192" s="2"/>
    </row>
    <row r="193" spans="1:26" ht="21" customHeight="1" x14ac:dyDescent="0.55000000000000004">
      <c r="A193" s="2"/>
      <c r="B193" s="2"/>
      <c r="C193" s="2"/>
      <c r="D193" s="2"/>
      <c r="E193" s="6"/>
      <c r="F193" s="6"/>
      <c r="G193" s="6"/>
      <c r="H193" s="2"/>
      <c r="I193" s="2"/>
      <c r="J193" s="2"/>
      <c r="K193" s="2"/>
      <c r="L193" s="2"/>
      <c r="M193" s="2"/>
      <c r="N193" s="2"/>
      <c r="O193" s="2"/>
      <c r="P193" s="2"/>
      <c r="Q193" s="2"/>
      <c r="R193" s="2"/>
      <c r="S193" s="2"/>
      <c r="T193" s="2"/>
      <c r="U193" s="2"/>
      <c r="V193" s="2"/>
      <c r="W193" s="2"/>
      <c r="X193" s="2"/>
      <c r="Y193" s="2"/>
      <c r="Z193" s="2"/>
    </row>
    <row r="194" spans="1:26" ht="21" customHeight="1" x14ac:dyDescent="0.55000000000000004">
      <c r="A194" s="2"/>
      <c r="B194" s="2"/>
      <c r="C194" s="2"/>
      <c r="D194" s="2"/>
      <c r="E194" s="6"/>
      <c r="F194" s="6"/>
      <c r="G194" s="6"/>
      <c r="H194" s="2"/>
      <c r="I194" s="2"/>
      <c r="J194" s="2"/>
      <c r="K194" s="2"/>
      <c r="L194" s="2"/>
      <c r="M194" s="2"/>
      <c r="N194" s="2"/>
      <c r="O194" s="2"/>
      <c r="P194" s="2"/>
      <c r="Q194" s="2"/>
      <c r="R194" s="2"/>
      <c r="S194" s="2"/>
      <c r="T194" s="2"/>
      <c r="U194" s="2"/>
      <c r="V194" s="2"/>
      <c r="W194" s="2"/>
      <c r="X194" s="2"/>
      <c r="Y194" s="2"/>
      <c r="Z194" s="2"/>
    </row>
    <row r="195" spans="1:26" ht="21" customHeight="1" x14ac:dyDescent="0.55000000000000004">
      <c r="A195" s="2"/>
      <c r="B195" s="2"/>
      <c r="C195" s="2"/>
      <c r="D195" s="2"/>
      <c r="E195" s="6"/>
      <c r="F195" s="6"/>
      <c r="G195" s="6"/>
      <c r="H195" s="2"/>
      <c r="I195" s="2"/>
      <c r="J195" s="2"/>
      <c r="K195" s="2"/>
      <c r="L195" s="2"/>
      <c r="M195" s="2"/>
      <c r="N195" s="2"/>
      <c r="O195" s="2"/>
      <c r="P195" s="2"/>
      <c r="Q195" s="2"/>
      <c r="R195" s="2"/>
      <c r="S195" s="2"/>
      <c r="T195" s="2"/>
      <c r="U195" s="2"/>
      <c r="V195" s="2"/>
      <c r="W195" s="2"/>
      <c r="X195" s="2"/>
      <c r="Y195" s="2"/>
      <c r="Z195" s="2"/>
    </row>
    <row r="196" spans="1:26" ht="21" customHeight="1" x14ac:dyDescent="0.55000000000000004">
      <c r="A196" s="2"/>
      <c r="B196" s="2"/>
      <c r="C196" s="2"/>
      <c r="D196" s="2"/>
      <c r="E196" s="6"/>
      <c r="F196" s="6"/>
      <c r="G196" s="6"/>
      <c r="H196" s="2"/>
      <c r="I196" s="2"/>
      <c r="J196" s="2"/>
      <c r="K196" s="2"/>
      <c r="L196" s="2"/>
      <c r="M196" s="2"/>
      <c r="N196" s="2"/>
      <c r="O196" s="2"/>
      <c r="P196" s="2"/>
      <c r="Q196" s="2"/>
      <c r="R196" s="2"/>
      <c r="S196" s="2"/>
      <c r="T196" s="2"/>
      <c r="U196" s="2"/>
      <c r="V196" s="2"/>
      <c r="W196" s="2"/>
      <c r="X196" s="2"/>
      <c r="Y196" s="2"/>
      <c r="Z196" s="2"/>
    </row>
    <row r="197" spans="1:26" ht="21" customHeight="1" x14ac:dyDescent="0.55000000000000004">
      <c r="A197" s="2"/>
      <c r="B197" s="2"/>
      <c r="C197" s="2"/>
      <c r="D197" s="2"/>
      <c r="E197" s="6"/>
      <c r="F197" s="6"/>
      <c r="G197" s="6"/>
      <c r="H197" s="2"/>
      <c r="I197" s="2"/>
      <c r="J197" s="2"/>
      <c r="K197" s="2"/>
      <c r="L197" s="2"/>
      <c r="M197" s="2"/>
      <c r="N197" s="2"/>
      <c r="O197" s="2"/>
      <c r="P197" s="2"/>
      <c r="Q197" s="2"/>
      <c r="R197" s="2"/>
      <c r="S197" s="2"/>
      <c r="T197" s="2"/>
      <c r="U197" s="2"/>
      <c r="V197" s="2"/>
      <c r="W197" s="2"/>
      <c r="X197" s="2"/>
      <c r="Y197" s="2"/>
      <c r="Z197" s="2"/>
    </row>
    <row r="198" spans="1:26" ht="21" customHeight="1" x14ac:dyDescent="0.55000000000000004">
      <c r="A198" s="2"/>
      <c r="B198" s="2"/>
      <c r="C198" s="2"/>
      <c r="D198" s="2"/>
      <c r="E198" s="6"/>
      <c r="F198" s="6"/>
      <c r="G198" s="6"/>
      <c r="H198" s="2"/>
      <c r="I198" s="2"/>
      <c r="J198" s="2"/>
      <c r="K198" s="2"/>
      <c r="L198" s="2"/>
      <c r="M198" s="2"/>
      <c r="N198" s="2"/>
      <c r="O198" s="2"/>
      <c r="P198" s="2"/>
      <c r="Q198" s="2"/>
      <c r="R198" s="2"/>
      <c r="S198" s="2"/>
      <c r="T198" s="2"/>
      <c r="U198" s="2"/>
      <c r="V198" s="2"/>
      <c r="W198" s="2"/>
      <c r="X198" s="2"/>
      <c r="Y198" s="2"/>
      <c r="Z198" s="2"/>
    </row>
    <row r="199" spans="1:26" ht="21" customHeight="1" x14ac:dyDescent="0.55000000000000004">
      <c r="A199" s="2"/>
      <c r="B199" s="2"/>
      <c r="C199" s="2"/>
      <c r="D199" s="2"/>
      <c r="E199" s="6"/>
      <c r="F199" s="6"/>
      <c r="G199" s="6"/>
      <c r="H199" s="2"/>
      <c r="I199" s="2"/>
      <c r="J199" s="2"/>
      <c r="K199" s="2"/>
      <c r="L199" s="2"/>
      <c r="M199" s="2"/>
      <c r="N199" s="2"/>
      <c r="O199" s="2"/>
      <c r="P199" s="2"/>
      <c r="Q199" s="2"/>
      <c r="R199" s="2"/>
      <c r="S199" s="2"/>
      <c r="T199" s="2"/>
      <c r="U199" s="2"/>
      <c r="V199" s="2"/>
      <c r="W199" s="2"/>
      <c r="X199" s="2"/>
      <c r="Y199" s="2"/>
      <c r="Z199" s="2"/>
    </row>
    <row r="200" spans="1:26" ht="21" customHeight="1" x14ac:dyDescent="0.55000000000000004">
      <c r="A200" s="2"/>
      <c r="B200" s="2"/>
      <c r="C200" s="2"/>
      <c r="D200" s="2"/>
      <c r="E200" s="6"/>
      <c r="F200" s="6"/>
      <c r="G200" s="6"/>
      <c r="H200" s="2"/>
      <c r="I200" s="2"/>
      <c r="J200" s="2"/>
      <c r="K200" s="2"/>
      <c r="L200" s="2"/>
      <c r="M200" s="2"/>
      <c r="N200" s="2"/>
      <c r="O200" s="2"/>
      <c r="P200" s="2"/>
      <c r="Q200" s="2"/>
      <c r="R200" s="2"/>
      <c r="S200" s="2"/>
      <c r="T200" s="2"/>
      <c r="U200" s="2"/>
      <c r="V200" s="2"/>
      <c r="W200" s="2"/>
      <c r="X200" s="2"/>
      <c r="Y200" s="2"/>
      <c r="Z200" s="2"/>
    </row>
    <row r="201" spans="1:26" ht="21" customHeight="1" x14ac:dyDescent="0.55000000000000004">
      <c r="A201" s="2"/>
      <c r="B201" s="2"/>
      <c r="C201" s="2"/>
      <c r="D201" s="2"/>
      <c r="E201" s="6"/>
      <c r="F201" s="6"/>
      <c r="G201" s="6"/>
      <c r="H201" s="2"/>
      <c r="I201" s="2"/>
      <c r="J201" s="2"/>
      <c r="K201" s="2"/>
      <c r="L201" s="2"/>
      <c r="M201" s="2"/>
      <c r="N201" s="2"/>
      <c r="O201" s="2"/>
      <c r="P201" s="2"/>
      <c r="Q201" s="2"/>
      <c r="R201" s="2"/>
      <c r="S201" s="2"/>
      <c r="T201" s="2"/>
      <c r="U201" s="2"/>
      <c r="V201" s="2"/>
      <c r="W201" s="2"/>
      <c r="X201" s="2"/>
      <c r="Y201" s="2"/>
      <c r="Z201" s="2"/>
    </row>
    <row r="202" spans="1:26" ht="21" customHeight="1" x14ac:dyDescent="0.55000000000000004">
      <c r="A202" s="2"/>
      <c r="B202" s="2"/>
      <c r="C202" s="2"/>
      <c r="D202" s="2"/>
      <c r="E202" s="6"/>
      <c r="F202" s="6"/>
      <c r="G202" s="6"/>
      <c r="H202" s="2"/>
      <c r="I202" s="2"/>
      <c r="J202" s="2"/>
      <c r="K202" s="2"/>
      <c r="L202" s="2"/>
      <c r="M202" s="2"/>
      <c r="N202" s="2"/>
      <c r="O202" s="2"/>
      <c r="P202" s="2"/>
      <c r="Q202" s="2"/>
      <c r="R202" s="2"/>
      <c r="S202" s="2"/>
      <c r="T202" s="2"/>
      <c r="U202" s="2"/>
      <c r="V202" s="2"/>
      <c r="W202" s="2"/>
      <c r="X202" s="2"/>
      <c r="Y202" s="2"/>
      <c r="Z202" s="2"/>
    </row>
    <row r="203" spans="1:26" ht="21" customHeight="1" x14ac:dyDescent="0.55000000000000004">
      <c r="A203" s="2"/>
      <c r="B203" s="2"/>
      <c r="C203" s="2"/>
      <c r="D203" s="2"/>
      <c r="E203" s="6"/>
      <c r="F203" s="6"/>
      <c r="G203" s="6"/>
      <c r="H203" s="2"/>
      <c r="I203" s="2"/>
      <c r="J203" s="2"/>
      <c r="K203" s="2"/>
      <c r="L203" s="2"/>
      <c r="M203" s="2"/>
      <c r="N203" s="2"/>
      <c r="O203" s="2"/>
      <c r="P203" s="2"/>
      <c r="Q203" s="2"/>
      <c r="R203" s="2"/>
      <c r="S203" s="2"/>
      <c r="T203" s="2"/>
      <c r="U203" s="2"/>
      <c r="V203" s="2"/>
      <c r="W203" s="2"/>
      <c r="X203" s="2"/>
      <c r="Y203" s="2"/>
      <c r="Z203" s="2"/>
    </row>
    <row r="204" spans="1:26" ht="21" customHeight="1" x14ac:dyDescent="0.55000000000000004">
      <c r="A204" s="2"/>
      <c r="B204" s="2"/>
      <c r="C204" s="2"/>
      <c r="D204" s="2"/>
      <c r="E204" s="6"/>
      <c r="F204" s="6"/>
      <c r="G204" s="6"/>
      <c r="H204" s="2"/>
      <c r="I204" s="2"/>
      <c r="J204" s="2"/>
      <c r="K204" s="2"/>
      <c r="L204" s="2"/>
      <c r="M204" s="2"/>
      <c r="N204" s="2"/>
      <c r="O204" s="2"/>
      <c r="P204" s="2"/>
      <c r="Q204" s="2"/>
      <c r="R204" s="2"/>
      <c r="S204" s="2"/>
      <c r="T204" s="2"/>
      <c r="U204" s="2"/>
      <c r="V204" s="2"/>
      <c r="W204" s="2"/>
      <c r="X204" s="2"/>
      <c r="Y204" s="2"/>
      <c r="Z204" s="2"/>
    </row>
    <row r="205" spans="1:26" ht="21" customHeight="1" x14ac:dyDescent="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21" customHeight="1" x14ac:dyDescent="0.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21" customHeight="1" x14ac:dyDescent="0.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21" customHeight="1" x14ac:dyDescent="0.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21" customHeight="1" x14ac:dyDescent="0.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21" customHeight="1" x14ac:dyDescent="0.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21" customHeight="1" x14ac:dyDescent="0.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21" customHeight="1" x14ac:dyDescent="0.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21" customHeight="1" x14ac:dyDescent="0.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21" customHeight="1" x14ac:dyDescent="0.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21" customHeight="1" x14ac:dyDescent="0.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21" customHeight="1" x14ac:dyDescent="0.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21" customHeight="1" x14ac:dyDescent="0.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21" customHeight="1" x14ac:dyDescent="0.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21" customHeight="1" x14ac:dyDescent="0.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21" customHeight="1" x14ac:dyDescent="0.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21" customHeight="1" x14ac:dyDescent="0.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21" customHeight="1" x14ac:dyDescent="0.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21" customHeight="1" x14ac:dyDescent="0.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21" customHeight="1" x14ac:dyDescent="0.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21" customHeight="1" x14ac:dyDescent="0.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21" customHeight="1" x14ac:dyDescent="0.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21" customHeight="1" x14ac:dyDescent="0.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21" customHeight="1" x14ac:dyDescent="0.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21" customHeight="1" x14ac:dyDescent="0.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21" customHeight="1" x14ac:dyDescent="0.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21" customHeight="1" x14ac:dyDescent="0.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21" customHeight="1" x14ac:dyDescent="0.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21" customHeight="1" x14ac:dyDescent="0.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21" customHeight="1" x14ac:dyDescent="0.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21" customHeight="1" x14ac:dyDescent="0.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21" customHeight="1" x14ac:dyDescent="0.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21" customHeight="1" x14ac:dyDescent="0.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21" customHeight="1" x14ac:dyDescent="0.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21" customHeight="1" x14ac:dyDescent="0.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21" customHeight="1" x14ac:dyDescent="0.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21" customHeight="1" x14ac:dyDescent="0.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21" customHeight="1" x14ac:dyDescent="0.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21" customHeight="1" x14ac:dyDescent="0.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21" customHeight="1" x14ac:dyDescent="0.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21" customHeight="1" x14ac:dyDescent="0.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21" customHeight="1" x14ac:dyDescent="0.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21" customHeight="1" x14ac:dyDescent="0.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21" customHeight="1" x14ac:dyDescent="0.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21" customHeight="1" x14ac:dyDescent="0.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21" customHeight="1" x14ac:dyDescent="0.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21" customHeight="1" x14ac:dyDescent="0.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21" customHeight="1" x14ac:dyDescent="0.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21" customHeight="1" x14ac:dyDescent="0.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21" customHeight="1" x14ac:dyDescent="0.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21" customHeight="1" x14ac:dyDescent="0.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21" customHeight="1" x14ac:dyDescent="0.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21" customHeight="1" x14ac:dyDescent="0.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21" customHeight="1" x14ac:dyDescent="0.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21" customHeight="1" x14ac:dyDescent="0.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21" customHeight="1" x14ac:dyDescent="0.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21" customHeight="1" x14ac:dyDescent="0.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21" customHeight="1" x14ac:dyDescent="0.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21" customHeight="1" x14ac:dyDescent="0.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21" customHeight="1" x14ac:dyDescent="0.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21" customHeight="1" x14ac:dyDescent="0.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21" customHeight="1" x14ac:dyDescent="0.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21" customHeight="1" x14ac:dyDescent="0.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21" customHeight="1" x14ac:dyDescent="0.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21" customHeight="1" x14ac:dyDescent="0.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21" customHeight="1" x14ac:dyDescent="0.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21" customHeight="1" x14ac:dyDescent="0.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21" customHeight="1" x14ac:dyDescent="0.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21" customHeight="1" x14ac:dyDescent="0.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21" customHeight="1" x14ac:dyDescent="0.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21" customHeight="1" x14ac:dyDescent="0.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21" customHeight="1" x14ac:dyDescent="0.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21" customHeight="1" x14ac:dyDescent="0.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21" customHeight="1" x14ac:dyDescent="0.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21" customHeight="1" x14ac:dyDescent="0.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21" customHeight="1" x14ac:dyDescent="0.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21" customHeight="1" x14ac:dyDescent="0.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21" customHeight="1" x14ac:dyDescent="0.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21" customHeight="1" x14ac:dyDescent="0.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21" customHeight="1" x14ac:dyDescent="0.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21" customHeight="1" x14ac:dyDescent="0.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21" customHeight="1" x14ac:dyDescent="0.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21" customHeight="1" x14ac:dyDescent="0.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21" customHeight="1" x14ac:dyDescent="0.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21" customHeight="1" x14ac:dyDescent="0.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21" customHeight="1" x14ac:dyDescent="0.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21" customHeight="1" x14ac:dyDescent="0.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21" customHeight="1" x14ac:dyDescent="0.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21" customHeight="1" x14ac:dyDescent="0.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21" customHeight="1" x14ac:dyDescent="0.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21" customHeight="1" x14ac:dyDescent="0.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21" customHeight="1" x14ac:dyDescent="0.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21" customHeight="1" x14ac:dyDescent="0.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21" customHeight="1" x14ac:dyDescent="0.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21" customHeight="1" x14ac:dyDescent="0.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21" customHeight="1" x14ac:dyDescent="0.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21" customHeight="1" x14ac:dyDescent="0.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21" customHeight="1" x14ac:dyDescent="0.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21" customHeight="1" x14ac:dyDescent="0.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21" customHeight="1" x14ac:dyDescent="0.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21" customHeight="1" x14ac:dyDescent="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21" customHeight="1" x14ac:dyDescent="0.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21" customHeight="1" x14ac:dyDescent="0.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21" customHeight="1" x14ac:dyDescent="0.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21" customHeight="1" x14ac:dyDescent="0.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21" customHeight="1" x14ac:dyDescent="0.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21" customHeight="1" x14ac:dyDescent="0.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21" customHeight="1" x14ac:dyDescent="0.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21" customHeight="1" x14ac:dyDescent="0.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21" customHeight="1" x14ac:dyDescent="0.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21" customHeight="1" x14ac:dyDescent="0.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21" customHeight="1" x14ac:dyDescent="0.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21" customHeight="1" x14ac:dyDescent="0.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21" customHeight="1" x14ac:dyDescent="0.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21" customHeight="1" x14ac:dyDescent="0.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21" customHeight="1" x14ac:dyDescent="0.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21" customHeight="1" x14ac:dyDescent="0.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21" customHeight="1" x14ac:dyDescent="0.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21" customHeight="1" x14ac:dyDescent="0.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21" customHeight="1" x14ac:dyDescent="0.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21" customHeight="1" x14ac:dyDescent="0.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21" customHeight="1" x14ac:dyDescent="0.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21" customHeight="1" x14ac:dyDescent="0.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21" customHeight="1" x14ac:dyDescent="0.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21" customHeight="1" x14ac:dyDescent="0.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21" customHeight="1" x14ac:dyDescent="0.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21" customHeight="1" x14ac:dyDescent="0.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21" customHeight="1" x14ac:dyDescent="0.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21" customHeight="1" x14ac:dyDescent="0.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21" customHeight="1" x14ac:dyDescent="0.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21" customHeight="1" x14ac:dyDescent="0.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21" customHeight="1" x14ac:dyDescent="0.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21" customHeight="1" x14ac:dyDescent="0.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21" customHeight="1" x14ac:dyDescent="0.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21" customHeight="1" x14ac:dyDescent="0.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21" customHeight="1" x14ac:dyDescent="0.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21" customHeight="1" x14ac:dyDescent="0.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21" customHeight="1" x14ac:dyDescent="0.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21" customHeight="1" x14ac:dyDescent="0.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21" customHeight="1" x14ac:dyDescent="0.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21" customHeight="1" x14ac:dyDescent="0.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21" customHeight="1" x14ac:dyDescent="0.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21" customHeight="1" x14ac:dyDescent="0.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21" customHeight="1" x14ac:dyDescent="0.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21" customHeight="1" x14ac:dyDescent="0.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21" customHeight="1" x14ac:dyDescent="0.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21" customHeight="1" x14ac:dyDescent="0.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21" customHeight="1" x14ac:dyDescent="0.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21" customHeight="1" x14ac:dyDescent="0.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21" customHeight="1" x14ac:dyDescent="0.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21" customHeight="1" x14ac:dyDescent="0.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21" customHeight="1" x14ac:dyDescent="0.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21" customHeight="1" x14ac:dyDescent="0.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21" customHeight="1" x14ac:dyDescent="0.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21" customHeight="1" x14ac:dyDescent="0.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21" customHeight="1" x14ac:dyDescent="0.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21" customHeight="1" x14ac:dyDescent="0.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21" customHeight="1" x14ac:dyDescent="0.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21" customHeight="1" x14ac:dyDescent="0.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21" customHeight="1" x14ac:dyDescent="0.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21" customHeight="1" x14ac:dyDescent="0.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21" customHeight="1" x14ac:dyDescent="0.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21" customHeight="1" x14ac:dyDescent="0.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21" customHeight="1" x14ac:dyDescent="0.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21" customHeight="1" x14ac:dyDescent="0.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21" customHeight="1" x14ac:dyDescent="0.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21" customHeight="1" x14ac:dyDescent="0.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21" customHeight="1" x14ac:dyDescent="0.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21" customHeight="1" x14ac:dyDescent="0.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21" customHeight="1" x14ac:dyDescent="0.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21" customHeight="1" x14ac:dyDescent="0.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21" customHeight="1" x14ac:dyDescent="0.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21" customHeight="1" x14ac:dyDescent="0.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21" customHeight="1" x14ac:dyDescent="0.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21" customHeight="1" x14ac:dyDescent="0.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21" customHeight="1" x14ac:dyDescent="0.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21" customHeight="1" x14ac:dyDescent="0.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21" customHeight="1" x14ac:dyDescent="0.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21" customHeight="1" x14ac:dyDescent="0.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21" customHeight="1" x14ac:dyDescent="0.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21" customHeight="1" x14ac:dyDescent="0.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21" customHeight="1" x14ac:dyDescent="0.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21" customHeight="1" x14ac:dyDescent="0.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21" customHeight="1" x14ac:dyDescent="0.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21" customHeight="1" x14ac:dyDescent="0.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21" customHeight="1" x14ac:dyDescent="0.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21" customHeight="1" x14ac:dyDescent="0.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21" customHeight="1" x14ac:dyDescent="0.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21" customHeight="1" x14ac:dyDescent="0.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21" customHeight="1" x14ac:dyDescent="0.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21" customHeight="1" x14ac:dyDescent="0.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21" customHeight="1" x14ac:dyDescent="0.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21" customHeight="1" x14ac:dyDescent="0.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21" customHeight="1" x14ac:dyDescent="0.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21" customHeight="1" x14ac:dyDescent="0.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21" customHeight="1" x14ac:dyDescent="0.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21" customHeight="1" x14ac:dyDescent="0.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21" customHeight="1" x14ac:dyDescent="0.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21" customHeight="1" x14ac:dyDescent="0.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21" customHeight="1" x14ac:dyDescent="0.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21" customHeight="1" x14ac:dyDescent="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21" customHeight="1" x14ac:dyDescent="0.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21" customHeight="1" x14ac:dyDescent="0.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21" customHeight="1" x14ac:dyDescent="0.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21" customHeight="1" x14ac:dyDescent="0.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21" customHeight="1" x14ac:dyDescent="0.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21" customHeight="1" x14ac:dyDescent="0.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21" customHeight="1" x14ac:dyDescent="0.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21" customHeight="1" x14ac:dyDescent="0.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21" customHeight="1" x14ac:dyDescent="0.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21" customHeight="1" x14ac:dyDescent="0.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21" customHeight="1" x14ac:dyDescent="0.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21" customHeight="1" x14ac:dyDescent="0.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21" customHeight="1" x14ac:dyDescent="0.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21" customHeight="1" x14ac:dyDescent="0.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21" customHeight="1" x14ac:dyDescent="0.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21" customHeight="1" x14ac:dyDescent="0.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21" customHeight="1" x14ac:dyDescent="0.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21" customHeight="1" x14ac:dyDescent="0.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21" customHeight="1" x14ac:dyDescent="0.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21" customHeight="1" x14ac:dyDescent="0.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21" customHeight="1" x14ac:dyDescent="0.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21" customHeight="1" x14ac:dyDescent="0.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21" customHeight="1" x14ac:dyDescent="0.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21" customHeight="1" x14ac:dyDescent="0.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21" customHeight="1" x14ac:dyDescent="0.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21" customHeight="1" x14ac:dyDescent="0.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21" customHeight="1" x14ac:dyDescent="0.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21" customHeight="1" x14ac:dyDescent="0.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21" customHeight="1" x14ac:dyDescent="0.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21" customHeight="1" x14ac:dyDescent="0.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21" customHeight="1" x14ac:dyDescent="0.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21" customHeight="1" x14ac:dyDescent="0.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21" customHeight="1" x14ac:dyDescent="0.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21" customHeight="1" x14ac:dyDescent="0.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21" customHeight="1" x14ac:dyDescent="0.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21" customHeight="1" x14ac:dyDescent="0.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21" customHeight="1" x14ac:dyDescent="0.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21" customHeight="1" x14ac:dyDescent="0.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21" customHeight="1" x14ac:dyDescent="0.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21" customHeight="1" x14ac:dyDescent="0.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21" customHeight="1" x14ac:dyDescent="0.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21" customHeight="1" x14ac:dyDescent="0.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21" customHeight="1" x14ac:dyDescent="0.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21" customHeight="1" x14ac:dyDescent="0.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21" customHeight="1" x14ac:dyDescent="0.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21" customHeight="1" x14ac:dyDescent="0.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21" customHeight="1" x14ac:dyDescent="0.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21" customHeight="1" x14ac:dyDescent="0.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21" customHeight="1" x14ac:dyDescent="0.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21" customHeight="1" x14ac:dyDescent="0.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21" customHeight="1" x14ac:dyDescent="0.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21" customHeight="1" x14ac:dyDescent="0.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21" customHeight="1" x14ac:dyDescent="0.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21" customHeight="1" x14ac:dyDescent="0.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21" customHeight="1" x14ac:dyDescent="0.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21" customHeight="1" x14ac:dyDescent="0.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21" customHeight="1" x14ac:dyDescent="0.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21" customHeight="1" x14ac:dyDescent="0.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21" customHeight="1" x14ac:dyDescent="0.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21" customHeight="1" x14ac:dyDescent="0.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21" customHeight="1" x14ac:dyDescent="0.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21" customHeight="1" x14ac:dyDescent="0.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21" customHeight="1" x14ac:dyDescent="0.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21" customHeight="1" x14ac:dyDescent="0.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21" customHeight="1" x14ac:dyDescent="0.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21" customHeight="1" x14ac:dyDescent="0.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21" customHeight="1" x14ac:dyDescent="0.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21" customHeight="1" x14ac:dyDescent="0.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21" customHeight="1" x14ac:dyDescent="0.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21" customHeight="1" x14ac:dyDescent="0.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21" customHeight="1" x14ac:dyDescent="0.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21" customHeight="1" x14ac:dyDescent="0.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21" customHeight="1" x14ac:dyDescent="0.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21" customHeight="1" x14ac:dyDescent="0.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21" customHeight="1" x14ac:dyDescent="0.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21" customHeight="1" x14ac:dyDescent="0.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21" customHeight="1" x14ac:dyDescent="0.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21" customHeight="1" x14ac:dyDescent="0.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21" customHeight="1" x14ac:dyDescent="0.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21" customHeight="1" x14ac:dyDescent="0.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21" customHeight="1" x14ac:dyDescent="0.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21" customHeight="1" x14ac:dyDescent="0.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21" customHeight="1" x14ac:dyDescent="0.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21" customHeight="1" x14ac:dyDescent="0.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21" customHeight="1" x14ac:dyDescent="0.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21" customHeight="1" x14ac:dyDescent="0.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21" customHeight="1" x14ac:dyDescent="0.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21" customHeight="1" x14ac:dyDescent="0.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21" customHeight="1" x14ac:dyDescent="0.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21" customHeight="1" x14ac:dyDescent="0.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21" customHeight="1" x14ac:dyDescent="0.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21" customHeight="1" x14ac:dyDescent="0.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21" customHeight="1" x14ac:dyDescent="0.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21" customHeight="1" x14ac:dyDescent="0.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21" customHeight="1" x14ac:dyDescent="0.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21" customHeight="1" x14ac:dyDescent="0.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21" customHeight="1" x14ac:dyDescent="0.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21" customHeight="1" x14ac:dyDescent="0.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21" customHeight="1" x14ac:dyDescent="0.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21" customHeight="1" x14ac:dyDescent="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21" customHeight="1" x14ac:dyDescent="0.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21" customHeight="1" x14ac:dyDescent="0.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21" customHeight="1" x14ac:dyDescent="0.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21" customHeight="1" x14ac:dyDescent="0.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21" customHeight="1" x14ac:dyDescent="0.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21" customHeight="1" x14ac:dyDescent="0.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21" customHeight="1" x14ac:dyDescent="0.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21" customHeight="1" x14ac:dyDescent="0.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21" customHeight="1" x14ac:dyDescent="0.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21" customHeight="1" x14ac:dyDescent="0.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21" customHeight="1" x14ac:dyDescent="0.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21" customHeight="1" x14ac:dyDescent="0.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21" customHeight="1" x14ac:dyDescent="0.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21" customHeight="1" x14ac:dyDescent="0.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21" customHeight="1" x14ac:dyDescent="0.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21" customHeight="1" x14ac:dyDescent="0.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21" customHeight="1" x14ac:dyDescent="0.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21" customHeight="1" x14ac:dyDescent="0.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21" customHeight="1" x14ac:dyDescent="0.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21" customHeight="1" x14ac:dyDescent="0.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21" customHeight="1" x14ac:dyDescent="0.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21" customHeight="1" x14ac:dyDescent="0.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21" customHeight="1" x14ac:dyDescent="0.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21" customHeight="1" x14ac:dyDescent="0.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21" customHeight="1" x14ac:dyDescent="0.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21" customHeight="1" x14ac:dyDescent="0.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21" customHeight="1" x14ac:dyDescent="0.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21" customHeight="1" x14ac:dyDescent="0.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21" customHeight="1" x14ac:dyDescent="0.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21" customHeight="1" x14ac:dyDescent="0.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21" customHeight="1" x14ac:dyDescent="0.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21" customHeight="1" x14ac:dyDescent="0.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21" customHeight="1" x14ac:dyDescent="0.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21" customHeight="1" x14ac:dyDescent="0.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21" customHeight="1" x14ac:dyDescent="0.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21" customHeight="1" x14ac:dyDescent="0.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21" customHeight="1" x14ac:dyDescent="0.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21" customHeight="1" x14ac:dyDescent="0.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21" customHeight="1" x14ac:dyDescent="0.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21" customHeight="1" x14ac:dyDescent="0.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21" customHeight="1" x14ac:dyDescent="0.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21" customHeight="1" x14ac:dyDescent="0.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21" customHeight="1" x14ac:dyDescent="0.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21" customHeight="1" x14ac:dyDescent="0.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21" customHeight="1" x14ac:dyDescent="0.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21" customHeight="1" x14ac:dyDescent="0.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21" customHeight="1" x14ac:dyDescent="0.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21" customHeight="1" x14ac:dyDescent="0.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21" customHeight="1" x14ac:dyDescent="0.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21" customHeight="1" x14ac:dyDescent="0.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21" customHeight="1" x14ac:dyDescent="0.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21" customHeight="1" x14ac:dyDescent="0.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21" customHeight="1" x14ac:dyDescent="0.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21" customHeight="1" x14ac:dyDescent="0.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21" customHeight="1" x14ac:dyDescent="0.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21" customHeight="1" x14ac:dyDescent="0.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21" customHeight="1" x14ac:dyDescent="0.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21" customHeight="1" x14ac:dyDescent="0.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21" customHeight="1" x14ac:dyDescent="0.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21" customHeight="1" x14ac:dyDescent="0.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21" customHeight="1" x14ac:dyDescent="0.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21" customHeight="1" x14ac:dyDescent="0.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21" customHeight="1" x14ac:dyDescent="0.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21" customHeight="1" x14ac:dyDescent="0.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21" customHeight="1" x14ac:dyDescent="0.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21" customHeight="1" x14ac:dyDescent="0.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21" customHeight="1" x14ac:dyDescent="0.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21" customHeight="1" x14ac:dyDescent="0.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21" customHeight="1" x14ac:dyDescent="0.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21" customHeight="1" x14ac:dyDescent="0.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21" customHeight="1" x14ac:dyDescent="0.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21" customHeight="1" x14ac:dyDescent="0.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21" customHeight="1" x14ac:dyDescent="0.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21" customHeight="1" x14ac:dyDescent="0.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21" customHeight="1" x14ac:dyDescent="0.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21" customHeight="1" x14ac:dyDescent="0.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21" customHeight="1" x14ac:dyDescent="0.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21" customHeight="1" x14ac:dyDescent="0.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21" customHeight="1" x14ac:dyDescent="0.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21" customHeight="1" x14ac:dyDescent="0.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21" customHeight="1" x14ac:dyDescent="0.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21" customHeight="1" x14ac:dyDescent="0.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21" customHeight="1" x14ac:dyDescent="0.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21" customHeight="1" x14ac:dyDescent="0.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21" customHeight="1" x14ac:dyDescent="0.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21" customHeight="1" x14ac:dyDescent="0.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21" customHeight="1" x14ac:dyDescent="0.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21" customHeight="1" x14ac:dyDescent="0.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21" customHeight="1" x14ac:dyDescent="0.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21" customHeight="1" x14ac:dyDescent="0.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21" customHeight="1" x14ac:dyDescent="0.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21" customHeight="1" x14ac:dyDescent="0.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21" customHeight="1" x14ac:dyDescent="0.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21" customHeight="1" x14ac:dyDescent="0.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21" customHeight="1" x14ac:dyDescent="0.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21" customHeight="1" x14ac:dyDescent="0.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21" customHeight="1" x14ac:dyDescent="0.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21" customHeight="1" x14ac:dyDescent="0.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21" customHeight="1" x14ac:dyDescent="0.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21" customHeight="1" x14ac:dyDescent="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21" customHeight="1" x14ac:dyDescent="0.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21" customHeight="1" x14ac:dyDescent="0.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21" customHeight="1" x14ac:dyDescent="0.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21" customHeight="1" x14ac:dyDescent="0.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21" customHeight="1" x14ac:dyDescent="0.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21" customHeight="1" x14ac:dyDescent="0.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21" customHeight="1" x14ac:dyDescent="0.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21" customHeight="1" x14ac:dyDescent="0.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21" customHeight="1" x14ac:dyDescent="0.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21" customHeight="1" x14ac:dyDescent="0.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21" customHeight="1" x14ac:dyDescent="0.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21" customHeight="1" x14ac:dyDescent="0.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21" customHeight="1" x14ac:dyDescent="0.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21" customHeight="1" x14ac:dyDescent="0.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21" customHeight="1" x14ac:dyDescent="0.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21" customHeight="1" x14ac:dyDescent="0.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21" customHeight="1" x14ac:dyDescent="0.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21" customHeight="1" x14ac:dyDescent="0.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21" customHeight="1" x14ac:dyDescent="0.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21" customHeight="1" x14ac:dyDescent="0.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21" customHeight="1" x14ac:dyDescent="0.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21" customHeight="1" x14ac:dyDescent="0.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21" customHeight="1" x14ac:dyDescent="0.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21" customHeight="1" x14ac:dyDescent="0.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21" customHeight="1" x14ac:dyDescent="0.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21" customHeight="1" x14ac:dyDescent="0.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21" customHeight="1" x14ac:dyDescent="0.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21" customHeight="1" x14ac:dyDescent="0.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21" customHeight="1" x14ac:dyDescent="0.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21" customHeight="1" x14ac:dyDescent="0.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21" customHeight="1" x14ac:dyDescent="0.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21" customHeight="1" x14ac:dyDescent="0.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21" customHeight="1" x14ac:dyDescent="0.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21" customHeight="1" x14ac:dyDescent="0.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21" customHeight="1" x14ac:dyDescent="0.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21" customHeight="1" x14ac:dyDescent="0.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21" customHeight="1" x14ac:dyDescent="0.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21" customHeight="1" x14ac:dyDescent="0.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21" customHeight="1" x14ac:dyDescent="0.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21" customHeight="1" x14ac:dyDescent="0.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21" customHeight="1" x14ac:dyDescent="0.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21" customHeight="1" x14ac:dyDescent="0.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21" customHeight="1" x14ac:dyDescent="0.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21" customHeight="1" x14ac:dyDescent="0.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21" customHeight="1" x14ac:dyDescent="0.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21" customHeight="1" x14ac:dyDescent="0.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21" customHeight="1" x14ac:dyDescent="0.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21" customHeight="1" x14ac:dyDescent="0.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21" customHeight="1" x14ac:dyDescent="0.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21" customHeight="1" x14ac:dyDescent="0.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21" customHeight="1" x14ac:dyDescent="0.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21" customHeight="1" x14ac:dyDescent="0.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21" customHeight="1" x14ac:dyDescent="0.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21" customHeight="1" x14ac:dyDescent="0.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21" customHeight="1" x14ac:dyDescent="0.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21" customHeight="1" x14ac:dyDescent="0.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21" customHeight="1" x14ac:dyDescent="0.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21" customHeight="1" x14ac:dyDescent="0.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21" customHeight="1" x14ac:dyDescent="0.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21" customHeight="1" x14ac:dyDescent="0.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21" customHeight="1" x14ac:dyDescent="0.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21" customHeight="1" x14ac:dyDescent="0.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21" customHeight="1" x14ac:dyDescent="0.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21" customHeight="1" x14ac:dyDescent="0.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21" customHeight="1" x14ac:dyDescent="0.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21" customHeight="1" x14ac:dyDescent="0.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21" customHeight="1" x14ac:dyDescent="0.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21" customHeight="1" x14ac:dyDescent="0.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21" customHeight="1" x14ac:dyDescent="0.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21" customHeight="1" x14ac:dyDescent="0.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21" customHeight="1" x14ac:dyDescent="0.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21" customHeight="1" x14ac:dyDescent="0.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21" customHeight="1" x14ac:dyDescent="0.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21" customHeight="1" x14ac:dyDescent="0.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21" customHeight="1" x14ac:dyDescent="0.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21" customHeight="1" x14ac:dyDescent="0.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21" customHeight="1" x14ac:dyDescent="0.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21" customHeight="1" x14ac:dyDescent="0.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21" customHeight="1" x14ac:dyDescent="0.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21" customHeight="1" x14ac:dyDescent="0.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21" customHeight="1" x14ac:dyDescent="0.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21" customHeight="1" x14ac:dyDescent="0.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21" customHeight="1" x14ac:dyDescent="0.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21" customHeight="1" x14ac:dyDescent="0.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21" customHeight="1" x14ac:dyDescent="0.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21" customHeight="1" x14ac:dyDescent="0.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21" customHeight="1" x14ac:dyDescent="0.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21" customHeight="1" x14ac:dyDescent="0.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21" customHeight="1" x14ac:dyDescent="0.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21" customHeight="1" x14ac:dyDescent="0.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21" customHeight="1" x14ac:dyDescent="0.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21" customHeight="1" x14ac:dyDescent="0.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21" customHeight="1" x14ac:dyDescent="0.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21" customHeight="1" x14ac:dyDescent="0.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21" customHeight="1" x14ac:dyDescent="0.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21" customHeight="1" x14ac:dyDescent="0.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21" customHeight="1" x14ac:dyDescent="0.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21" customHeight="1" x14ac:dyDescent="0.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21" customHeight="1" x14ac:dyDescent="0.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21" customHeight="1" x14ac:dyDescent="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21" customHeight="1" x14ac:dyDescent="0.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21" customHeight="1" x14ac:dyDescent="0.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21" customHeight="1" x14ac:dyDescent="0.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21" customHeight="1" x14ac:dyDescent="0.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21" customHeight="1" x14ac:dyDescent="0.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21" customHeight="1" x14ac:dyDescent="0.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21" customHeight="1" x14ac:dyDescent="0.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21" customHeight="1" x14ac:dyDescent="0.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21" customHeight="1" x14ac:dyDescent="0.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21" customHeight="1" x14ac:dyDescent="0.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21" customHeight="1" x14ac:dyDescent="0.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21" customHeight="1" x14ac:dyDescent="0.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21" customHeight="1" x14ac:dyDescent="0.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21" customHeight="1" x14ac:dyDescent="0.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21" customHeight="1" x14ac:dyDescent="0.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21" customHeight="1" x14ac:dyDescent="0.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21" customHeight="1" x14ac:dyDescent="0.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21" customHeight="1" x14ac:dyDescent="0.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21" customHeight="1" x14ac:dyDescent="0.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21" customHeight="1" x14ac:dyDescent="0.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21" customHeight="1" x14ac:dyDescent="0.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21" customHeight="1" x14ac:dyDescent="0.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21" customHeight="1" x14ac:dyDescent="0.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21" customHeight="1" x14ac:dyDescent="0.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21" customHeight="1" x14ac:dyDescent="0.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21" customHeight="1" x14ac:dyDescent="0.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21" customHeight="1" x14ac:dyDescent="0.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21" customHeight="1" x14ac:dyDescent="0.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21" customHeight="1" x14ac:dyDescent="0.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21" customHeight="1" x14ac:dyDescent="0.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21" customHeight="1" x14ac:dyDescent="0.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21" customHeight="1" x14ac:dyDescent="0.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21" customHeight="1" x14ac:dyDescent="0.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21" customHeight="1" x14ac:dyDescent="0.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21" customHeight="1" x14ac:dyDescent="0.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21" customHeight="1" x14ac:dyDescent="0.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21" customHeight="1" x14ac:dyDescent="0.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21" customHeight="1" x14ac:dyDescent="0.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21" customHeight="1" x14ac:dyDescent="0.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21" customHeight="1" x14ac:dyDescent="0.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21" customHeight="1" x14ac:dyDescent="0.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21" customHeight="1" x14ac:dyDescent="0.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21" customHeight="1" x14ac:dyDescent="0.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21" customHeight="1" x14ac:dyDescent="0.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21" customHeight="1" x14ac:dyDescent="0.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21" customHeight="1" x14ac:dyDescent="0.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21" customHeight="1" x14ac:dyDescent="0.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21" customHeight="1" x14ac:dyDescent="0.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21" customHeight="1" x14ac:dyDescent="0.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21" customHeight="1" x14ac:dyDescent="0.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21" customHeight="1" x14ac:dyDescent="0.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21" customHeight="1" x14ac:dyDescent="0.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21" customHeight="1" x14ac:dyDescent="0.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21" customHeight="1" x14ac:dyDescent="0.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21" customHeight="1" x14ac:dyDescent="0.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21" customHeight="1" x14ac:dyDescent="0.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21" customHeight="1" x14ac:dyDescent="0.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21" customHeight="1" x14ac:dyDescent="0.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21" customHeight="1" x14ac:dyDescent="0.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21" customHeight="1" x14ac:dyDescent="0.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21" customHeight="1" x14ac:dyDescent="0.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21" customHeight="1" x14ac:dyDescent="0.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21" customHeight="1" x14ac:dyDescent="0.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21" customHeight="1" x14ac:dyDescent="0.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21" customHeight="1" x14ac:dyDescent="0.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21" customHeight="1" x14ac:dyDescent="0.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21" customHeight="1" x14ac:dyDescent="0.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21" customHeight="1" x14ac:dyDescent="0.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21" customHeight="1" x14ac:dyDescent="0.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21" customHeight="1" x14ac:dyDescent="0.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21" customHeight="1" x14ac:dyDescent="0.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21" customHeight="1" x14ac:dyDescent="0.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21" customHeight="1" x14ac:dyDescent="0.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21" customHeight="1" x14ac:dyDescent="0.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21" customHeight="1" x14ac:dyDescent="0.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21" customHeight="1" x14ac:dyDescent="0.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21" customHeight="1" x14ac:dyDescent="0.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21" customHeight="1" x14ac:dyDescent="0.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21" customHeight="1" x14ac:dyDescent="0.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21" customHeight="1" x14ac:dyDescent="0.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21" customHeight="1" x14ac:dyDescent="0.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21" customHeight="1" x14ac:dyDescent="0.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21" customHeight="1" x14ac:dyDescent="0.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21" customHeight="1" x14ac:dyDescent="0.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21" customHeight="1" x14ac:dyDescent="0.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21" customHeight="1" x14ac:dyDescent="0.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21" customHeight="1" x14ac:dyDescent="0.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21" customHeight="1" x14ac:dyDescent="0.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21" customHeight="1" x14ac:dyDescent="0.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21" customHeight="1" x14ac:dyDescent="0.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21" customHeight="1" x14ac:dyDescent="0.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21" customHeight="1" x14ac:dyDescent="0.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21" customHeight="1" x14ac:dyDescent="0.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21" customHeight="1" x14ac:dyDescent="0.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21" customHeight="1" x14ac:dyDescent="0.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21" customHeight="1" x14ac:dyDescent="0.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21" customHeight="1" x14ac:dyDescent="0.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21" customHeight="1" x14ac:dyDescent="0.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21" customHeight="1" x14ac:dyDescent="0.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21" customHeight="1" x14ac:dyDescent="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21" customHeight="1" x14ac:dyDescent="0.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21" customHeight="1" x14ac:dyDescent="0.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21" customHeight="1" x14ac:dyDescent="0.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21" customHeight="1" x14ac:dyDescent="0.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21" customHeight="1" x14ac:dyDescent="0.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21" customHeight="1" x14ac:dyDescent="0.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21" customHeight="1" x14ac:dyDescent="0.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21" customHeight="1" x14ac:dyDescent="0.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21" customHeight="1" x14ac:dyDescent="0.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21" customHeight="1" x14ac:dyDescent="0.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21" customHeight="1" x14ac:dyDescent="0.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21" customHeight="1" x14ac:dyDescent="0.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21" customHeight="1" x14ac:dyDescent="0.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21" customHeight="1" x14ac:dyDescent="0.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21" customHeight="1" x14ac:dyDescent="0.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21" customHeight="1" x14ac:dyDescent="0.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21" customHeight="1" x14ac:dyDescent="0.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21" customHeight="1" x14ac:dyDescent="0.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21" customHeight="1" x14ac:dyDescent="0.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21" customHeight="1" x14ac:dyDescent="0.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21" customHeight="1" x14ac:dyDescent="0.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21" customHeight="1" x14ac:dyDescent="0.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21" customHeight="1" x14ac:dyDescent="0.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21" customHeight="1" x14ac:dyDescent="0.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21" customHeight="1" x14ac:dyDescent="0.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21" customHeight="1" x14ac:dyDescent="0.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21" customHeight="1" x14ac:dyDescent="0.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21" customHeight="1" x14ac:dyDescent="0.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21" customHeight="1" x14ac:dyDescent="0.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21" customHeight="1" x14ac:dyDescent="0.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21" customHeight="1" x14ac:dyDescent="0.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21" customHeight="1" x14ac:dyDescent="0.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21" customHeight="1" x14ac:dyDescent="0.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21" customHeight="1" x14ac:dyDescent="0.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21" customHeight="1" x14ac:dyDescent="0.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21" customHeight="1" x14ac:dyDescent="0.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21" customHeight="1" x14ac:dyDescent="0.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21" customHeight="1" x14ac:dyDescent="0.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21" customHeight="1" x14ac:dyDescent="0.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21" customHeight="1" x14ac:dyDescent="0.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21" customHeight="1" x14ac:dyDescent="0.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21" customHeight="1" x14ac:dyDescent="0.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21" customHeight="1" x14ac:dyDescent="0.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21" customHeight="1" x14ac:dyDescent="0.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21" customHeight="1" x14ac:dyDescent="0.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21" customHeight="1" x14ac:dyDescent="0.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21" customHeight="1" x14ac:dyDescent="0.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21" customHeight="1" x14ac:dyDescent="0.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21" customHeight="1" x14ac:dyDescent="0.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21" customHeight="1" x14ac:dyDescent="0.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21" customHeight="1" x14ac:dyDescent="0.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21" customHeight="1" x14ac:dyDescent="0.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21" customHeight="1" x14ac:dyDescent="0.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21" customHeight="1" x14ac:dyDescent="0.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21" customHeight="1" x14ac:dyDescent="0.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21" customHeight="1" x14ac:dyDescent="0.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21" customHeight="1" x14ac:dyDescent="0.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21" customHeight="1" x14ac:dyDescent="0.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21" customHeight="1" x14ac:dyDescent="0.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21" customHeight="1" x14ac:dyDescent="0.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21" customHeight="1" x14ac:dyDescent="0.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21" customHeight="1" x14ac:dyDescent="0.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21" customHeight="1" x14ac:dyDescent="0.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21" customHeight="1" x14ac:dyDescent="0.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21" customHeight="1" x14ac:dyDescent="0.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21" customHeight="1" x14ac:dyDescent="0.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21" customHeight="1" x14ac:dyDescent="0.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21" customHeight="1" x14ac:dyDescent="0.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21" customHeight="1" x14ac:dyDescent="0.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21" customHeight="1" x14ac:dyDescent="0.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21" customHeight="1" x14ac:dyDescent="0.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21" customHeight="1" x14ac:dyDescent="0.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21" customHeight="1" x14ac:dyDescent="0.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21" customHeight="1" x14ac:dyDescent="0.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21" customHeight="1" x14ac:dyDescent="0.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21" customHeight="1" x14ac:dyDescent="0.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21" customHeight="1" x14ac:dyDescent="0.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21" customHeight="1" x14ac:dyDescent="0.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21" customHeight="1" x14ac:dyDescent="0.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21" customHeight="1" x14ac:dyDescent="0.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21" customHeight="1" x14ac:dyDescent="0.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21" customHeight="1" x14ac:dyDescent="0.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21" customHeight="1" x14ac:dyDescent="0.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21" customHeight="1" x14ac:dyDescent="0.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21" customHeight="1" x14ac:dyDescent="0.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21" customHeight="1" x14ac:dyDescent="0.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21" customHeight="1" x14ac:dyDescent="0.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21" customHeight="1" x14ac:dyDescent="0.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21" customHeight="1" x14ac:dyDescent="0.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21" customHeight="1" x14ac:dyDescent="0.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21" customHeight="1" x14ac:dyDescent="0.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21" customHeight="1" x14ac:dyDescent="0.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21" customHeight="1" x14ac:dyDescent="0.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21" customHeight="1" x14ac:dyDescent="0.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21" customHeight="1" x14ac:dyDescent="0.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21" customHeight="1" x14ac:dyDescent="0.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21" customHeight="1" x14ac:dyDescent="0.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21" customHeight="1" x14ac:dyDescent="0.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21" customHeight="1" x14ac:dyDescent="0.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21" customHeight="1" x14ac:dyDescent="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21" customHeight="1" x14ac:dyDescent="0.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21" customHeight="1" x14ac:dyDescent="0.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21" customHeight="1" x14ac:dyDescent="0.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21" customHeight="1" x14ac:dyDescent="0.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21" customHeight="1" x14ac:dyDescent="0.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21" customHeight="1" x14ac:dyDescent="0.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21" customHeight="1" x14ac:dyDescent="0.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21" customHeight="1" x14ac:dyDescent="0.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21" customHeight="1" x14ac:dyDescent="0.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21" customHeight="1" x14ac:dyDescent="0.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21" customHeight="1" x14ac:dyDescent="0.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21" customHeight="1" x14ac:dyDescent="0.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21" customHeight="1" x14ac:dyDescent="0.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21" customHeight="1" x14ac:dyDescent="0.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21" customHeight="1" x14ac:dyDescent="0.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21" customHeight="1" x14ac:dyDescent="0.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21" customHeight="1" x14ac:dyDescent="0.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21" customHeight="1" x14ac:dyDescent="0.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21" customHeight="1" x14ac:dyDescent="0.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21" customHeight="1" x14ac:dyDescent="0.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21" customHeight="1" x14ac:dyDescent="0.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21" customHeight="1" x14ac:dyDescent="0.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21" customHeight="1" x14ac:dyDescent="0.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21" customHeight="1" x14ac:dyDescent="0.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21" customHeight="1" x14ac:dyDescent="0.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21" customHeight="1" x14ac:dyDescent="0.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21" customHeight="1" x14ac:dyDescent="0.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21" customHeight="1" x14ac:dyDescent="0.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21" customHeight="1" x14ac:dyDescent="0.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21" customHeight="1" x14ac:dyDescent="0.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21" customHeight="1" x14ac:dyDescent="0.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21" customHeight="1" x14ac:dyDescent="0.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21" customHeight="1" x14ac:dyDescent="0.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21" customHeight="1" x14ac:dyDescent="0.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21" customHeight="1" x14ac:dyDescent="0.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21" customHeight="1" x14ac:dyDescent="0.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21" customHeight="1" x14ac:dyDescent="0.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21" customHeight="1" x14ac:dyDescent="0.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21" customHeight="1" x14ac:dyDescent="0.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21" customHeight="1" x14ac:dyDescent="0.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21" customHeight="1" x14ac:dyDescent="0.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21" customHeight="1" x14ac:dyDescent="0.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21" customHeight="1" x14ac:dyDescent="0.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21" customHeight="1" x14ac:dyDescent="0.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21" customHeight="1" x14ac:dyDescent="0.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21" customHeight="1" x14ac:dyDescent="0.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21" customHeight="1" x14ac:dyDescent="0.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21" customHeight="1" x14ac:dyDescent="0.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21" customHeight="1" x14ac:dyDescent="0.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21" customHeight="1" x14ac:dyDescent="0.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21" customHeight="1" x14ac:dyDescent="0.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21" customHeight="1" x14ac:dyDescent="0.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21" customHeight="1" x14ac:dyDescent="0.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21" customHeight="1" x14ac:dyDescent="0.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21" customHeight="1" x14ac:dyDescent="0.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21" customHeight="1" x14ac:dyDescent="0.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21" customHeight="1" x14ac:dyDescent="0.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21" customHeight="1" x14ac:dyDescent="0.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21" customHeight="1" x14ac:dyDescent="0.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21" customHeight="1" x14ac:dyDescent="0.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21" customHeight="1" x14ac:dyDescent="0.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21" customHeight="1" x14ac:dyDescent="0.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21" customHeight="1" x14ac:dyDescent="0.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21" customHeight="1" x14ac:dyDescent="0.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21" customHeight="1" x14ac:dyDescent="0.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21" customHeight="1" x14ac:dyDescent="0.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21" customHeight="1" x14ac:dyDescent="0.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21" customHeight="1" x14ac:dyDescent="0.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21" customHeight="1" x14ac:dyDescent="0.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21" customHeight="1" x14ac:dyDescent="0.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21" customHeight="1" x14ac:dyDescent="0.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21" customHeight="1" x14ac:dyDescent="0.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21" customHeight="1" x14ac:dyDescent="0.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21" customHeight="1" x14ac:dyDescent="0.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21" customHeight="1" x14ac:dyDescent="0.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21" customHeight="1" x14ac:dyDescent="0.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21" customHeight="1" x14ac:dyDescent="0.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21" customHeight="1" x14ac:dyDescent="0.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21" customHeight="1" x14ac:dyDescent="0.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21" customHeight="1" x14ac:dyDescent="0.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21" customHeight="1" x14ac:dyDescent="0.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21" customHeight="1" x14ac:dyDescent="0.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21" customHeight="1" x14ac:dyDescent="0.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21" customHeight="1" x14ac:dyDescent="0.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21" customHeight="1" x14ac:dyDescent="0.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21" customHeight="1" x14ac:dyDescent="0.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21" customHeight="1" x14ac:dyDescent="0.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21" customHeight="1" x14ac:dyDescent="0.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21" customHeight="1" x14ac:dyDescent="0.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21" customHeight="1" x14ac:dyDescent="0.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21" customHeight="1" x14ac:dyDescent="0.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21" customHeight="1" x14ac:dyDescent="0.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21" customHeight="1" x14ac:dyDescent="0.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21" customHeight="1" x14ac:dyDescent="0.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21" customHeight="1" x14ac:dyDescent="0.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
    <mergeCell ref="E2:E8"/>
    <mergeCell ref="F2:J8"/>
    <mergeCell ref="E9:E11"/>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8F2C4-F1BE-4ACB-86EF-06C8EF2C7F69}">
  <dimension ref="D7:K23"/>
  <sheetViews>
    <sheetView tabSelected="1" topLeftCell="B9" workbookViewId="0">
      <selection activeCell="K23" sqref="K23"/>
    </sheetView>
  </sheetViews>
  <sheetFormatPr defaultRowHeight="14.5" x14ac:dyDescent="0.35"/>
  <cols>
    <col min="5" max="5" width="16.26953125" customWidth="1"/>
    <col min="6" max="6" width="19.7265625" customWidth="1"/>
    <col min="7" max="7" width="18.08984375" customWidth="1"/>
    <col min="8" max="8" width="18" customWidth="1"/>
    <col min="9" max="10" width="16.7265625" customWidth="1"/>
  </cols>
  <sheetData>
    <row r="7" spans="4:10" x14ac:dyDescent="0.35">
      <c r="D7" s="66" t="s">
        <v>137</v>
      </c>
    </row>
    <row r="8" spans="4:10" x14ac:dyDescent="0.35">
      <c r="D8" s="66" t="s">
        <v>142</v>
      </c>
    </row>
    <row r="9" spans="4:10" x14ac:dyDescent="0.35">
      <c r="D9" s="67" t="s">
        <v>138</v>
      </c>
      <c r="E9" s="67" t="s">
        <v>139</v>
      </c>
      <c r="F9" s="67" t="s">
        <v>140</v>
      </c>
      <c r="G9" s="67" t="s">
        <v>15</v>
      </c>
      <c r="H9" s="67" t="s">
        <v>61</v>
      </c>
      <c r="I9" s="67" t="s">
        <v>86</v>
      </c>
      <c r="J9" s="67" t="s">
        <v>141</v>
      </c>
    </row>
    <row r="10" spans="4:10" x14ac:dyDescent="0.35">
      <c r="D10">
        <v>1</v>
      </c>
      <c r="E10">
        <v>80</v>
      </c>
      <c r="F10">
        <v>20</v>
      </c>
      <c r="G10">
        <v>1.325</v>
      </c>
      <c r="H10">
        <v>2.2389999999999999</v>
      </c>
      <c r="I10">
        <v>1.496</v>
      </c>
      <c r="J10">
        <v>0.97499999999999998</v>
      </c>
    </row>
    <row r="11" spans="4:10" x14ac:dyDescent="0.35">
      <c r="D11">
        <v>2</v>
      </c>
      <c r="E11">
        <v>80</v>
      </c>
      <c r="F11">
        <v>20</v>
      </c>
      <c r="G11">
        <v>1.3879999999999999</v>
      </c>
      <c r="H11">
        <v>2.665</v>
      </c>
      <c r="I11">
        <v>1.6319999999999999</v>
      </c>
      <c r="J11">
        <v>0.92400000000000004</v>
      </c>
    </row>
    <row r="12" spans="4:10" x14ac:dyDescent="0.35">
      <c r="D12">
        <v>3</v>
      </c>
      <c r="E12">
        <v>80</v>
      </c>
      <c r="F12">
        <v>20</v>
      </c>
      <c r="G12">
        <v>1.181</v>
      </c>
      <c r="H12">
        <v>1.988</v>
      </c>
      <c r="I12">
        <v>1.41</v>
      </c>
      <c r="J12">
        <v>0.97399999999999998</v>
      </c>
    </row>
    <row r="13" spans="4:10" x14ac:dyDescent="0.35">
      <c r="D13">
        <v>4</v>
      </c>
      <c r="E13">
        <v>80</v>
      </c>
      <c r="F13">
        <v>20</v>
      </c>
      <c r="G13">
        <v>0.83599999999999997</v>
      </c>
      <c r="H13">
        <v>1.212</v>
      </c>
      <c r="I13">
        <v>1.101</v>
      </c>
      <c r="J13">
        <v>0.98899999999999999</v>
      </c>
    </row>
    <row r="14" spans="4:10" x14ac:dyDescent="0.35">
      <c r="D14">
        <v>5</v>
      </c>
      <c r="E14">
        <v>80</v>
      </c>
      <c r="F14">
        <v>20</v>
      </c>
      <c r="G14">
        <v>0.98</v>
      </c>
      <c r="H14">
        <v>1.641</v>
      </c>
      <c r="I14">
        <v>1.2809999999999999</v>
      </c>
      <c r="J14">
        <v>0.97899999999999998</v>
      </c>
    </row>
    <row r="15" spans="4:10" x14ac:dyDescent="0.35">
      <c r="D15" s="67" t="s">
        <v>146</v>
      </c>
      <c r="G15">
        <v>1.1419999999999999</v>
      </c>
      <c r="H15">
        <v>1.9490000000000001</v>
      </c>
      <c r="I15">
        <v>1.3839999999999999</v>
      </c>
      <c r="J15">
        <v>0.96799999999999997</v>
      </c>
    </row>
    <row r="17" spans="4:11" x14ac:dyDescent="0.35">
      <c r="D17" s="66" t="s">
        <v>143</v>
      </c>
    </row>
    <row r="19" spans="4:11" x14ac:dyDescent="0.35">
      <c r="E19" s="67" t="s">
        <v>139</v>
      </c>
      <c r="F19" s="67" t="s">
        <v>140</v>
      </c>
      <c r="G19" s="67" t="s">
        <v>144</v>
      </c>
      <c r="H19" s="67" t="s">
        <v>145</v>
      </c>
      <c r="I19" s="67" t="s">
        <v>61</v>
      </c>
      <c r="J19" s="67" t="s">
        <v>86</v>
      </c>
      <c r="K19" s="67" t="s">
        <v>141</v>
      </c>
    </row>
    <row r="20" spans="4:11" x14ac:dyDescent="0.35">
      <c r="E20">
        <v>80</v>
      </c>
      <c r="F20">
        <v>20</v>
      </c>
      <c r="G20">
        <v>1.1499999999999999</v>
      </c>
      <c r="H20">
        <v>0.97899999999999998</v>
      </c>
      <c r="I20">
        <v>1.641</v>
      </c>
      <c r="J20">
        <v>1.2809999999999999</v>
      </c>
      <c r="K20">
        <v>0.97799999999999998</v>
      </c>
    </row>
    <row r="21" spans="4:11" x14ac:dyDescent="0.35">
      <c r="E21">
        <v>70</v>
      </c>
      <c r="F21">
        <v>30</v>
      </c>
      <c r="G21">
        <v>1.196</v>
      </c>
      <c r="H21">
        <v>0.95499999999999996</v>
      </c>
      <c r="I21">
        <v>1.478</v>
      </c>
      <c r="J21">
        <v>1.2150000000000001</v>
      </c>
      <c r="K21">
        <v>0.98</v>
      </c>
    </row>
    <row r="22" spans="4:11" x14ac:dyDescent="0.35">
      <c r="E22">
        <v>60</v>
      </c>
      <c r="F22">
        <v>40</v>
      </c>
      <c r="G22">
        <v>1.2549999999999999</v>
      </c>
      <c r="H22">
        <v>0.94499999999999995</v>
      </c>
      <c r="I22">
        <v>1.504</v>
      </c>
      <c r="J22">
        <v>1.226</v>
      </c>
      <c r="K22">
        <v>0.98399999999999999</v>
      </c>
    </row>
    <row r="23" spans="4:11" x14ac:dyDescent="0.35">
      <c r="E23">
        <v>50</v>
      </c>
      <c r="F23">
        <v>50</v>
      </c>
      <c r="G23">
        <v>1.32</v>
      </c>
      <c r="H23">
        <v>0.98599999999999999</v>
      </c>
      <c r="I23">
        <v>1.544</v>
      </c>
      <c r="J23">
        <v>1.242</v>
      </c>
      <c r="K23">
        <v>0.98199999999999998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00"/>
  <sheetViews>
    <sheetView topLeftCell="A75" zoomScale="85" workbookViewId="0">
      <selection activeCell="G492" sqref="G492"/>
    </sheetView>
  </sheetViews>
  <sheetFormatPr defaultColWidth="12.6328125" defaultRowHeight="15" customHeight="1" x14ac:dyDescent="0.35"/>
  <cols>
    <col min="1" max="1" width="20.453125" customWidth="1"/>
    <col min="2" max="2" width="24.6328125" customWidth="1"/>
    <col min="3" max="3" width="21.6328125" customWidth="1"/>
    <col min="4" max="4" width="25.453125" customWidth="1"/>
    <col min="5" max="5" width="41" customWidth="1"/>
    <col min="6" max="6" width="30.08984375" customWidth="1"/>
    <col min="7" max="7" width="19.7265625" customWidth="1"/>
    <col min="8" max="26" width="8.6328125" customWidth="1"/>
  </cols>
  <sheetData>
    <row r="1" spans="1:11" ht="14.25" customHeight="1" x14ac:dyDescent="0.35"/>
    <row r="2" spans="1:11" ht="14.25" customHeight="1" x14ac:dyDescent="0.35">
      <c r="B2" s="9" t="s">
        <v>11</v>
      </c>
    </row>
    <row r="3" spans="1:11" ht="14.25" customHeight="1" x14ac:dyDescent="0.35"/>
    <row r="4" spans="1:11" ht="14.25" customHeight="1" x14ac:dyDescent="0.35"/>
    <row r="5" spans="1:11" ht="14.25" customHeight="1" x14ac:dyDescent="0.45">
      <c r="A5" s="10" t="s">
        <v>0</v>
      </c>
      <c r="B5" s="10" t="s">
        <v>1</v>
      </c>
      <c r="C5" s="10" t="s">
        <v>2</v>
      </c>
      <c r="D5" s="11" t="s">
        <v>12</v>
      </c>
      <c r="E5" s="12" t="s">
        <v>13</v>
      </c>
      <c r="F5" s="12" t="s">
        <v>14</v>
      </c>
      <c r="G5" s="13" t="s">
        <v>15</v>
      </c>
      <c r="H5" s="14"/>
      <c r="I5" s="14"/>
      <c r="J5" s="14"/>
      <c r="K5" s="14"/>
    </row>
    <row r="6" spans="1:11" ht="14.25" customHeight="1" x14ac:dyDescent="0.45">
      <c r="A6" s="13">
        <v>8</v>
      </c>
      <c r="B6" s="13">
        <v>650</v>
      </c>
      <c r="C6" s="13">
        <v>29</v>
      </c>
      <c r="D6" s="15">
        <v>3.9</v>
      </c>
      <c r="E6" s="16">
        <f t="shared" ref="E6:E8" si="0">0.002*B6-0.05*C6+1.5</f>
        <v>1.3499999999999999</v>
      </c>
      <c r="F6" s="13">
        <f t="shared" ref="F6:F8" si="1">ABS(D6-E6)</f>
        <v>2.5499999999999998</v>
      </c>
      <c r="G6" s="50">
        <f>AVERAGE(F6:F8)</f>
        <v>2.6833333333333331</v>
      </c>
      <c r="H6" s="51" t="s">
        <v>16</v>
      </c>
      <c r="I6" s="41"/>
      <c r="J6" s="41"/>
      <c r="K6" s="42"/>
    </row>
    <row r="7" spans="1:11" ht="14.25" customHeight="1" x14ac:dyDescent="0.45">
      <c r="A7" s="13">
        <v>9</v>
      </c>
      <c r="B7" s="13">
        <v>700</v>
      </c>
      <c r="C7" s="13">
        <v>27</v>
      </c>
      <c r="D7" s="15">
        <v>4.0999999999999996</v>
      </c>
      <c r="E7" s="16">
        <f t="shared" si="0"/>
        <v>1.55</v>
      </c>
      <c r="F7" s="13">
        <f t="shared" si="1"/>
        <v>2.5499999999999998</v>
      </c>
      <c r="G7" s="38"/>
      <c r="H7" s="43"/>
      <c r="I7" s="44"/>
      <c r="J7" s="44"/>
      <c r="K7" s="45"/>
    </row>
    <row r="8" spans="1:11" ht="14.25" customHeight="1" x14ac:dyDescent="0.45">
      <c r="A8" s="13">
        <v>10</v>
      </c>
      <c r="B8" s="13">
        <v>950</v>
      </c>
      <c r="C8" s="13">
        <v>21</v>
      </c>
      <c r="D8" s="15">
        <v>5.3</v>
      </c>
      <c r="E8" s="16">
        <f t="shared" si="0"/>
        <v>2.35</v>
      </c>
      <c r="F8" s="13">
        <f t="shared" si="1"/>
        <v>2.9499999999999997</v>
      </c>
      <c r="G8" s="39"/>
      <c r="H8" s="46"/>
      <c r="I8" s="47"/>
      <c r="J8" s="47"/>
      <c r="K8" s="48"/>
    </row>
    <row r="9" spans="1:11" ht="14.25" customHeight="1" x14ac:dyDescent="0.45">
      <c r="A9" s="14"/>
      <c r="B9" s="14"/>
      <c r="C9" s="14"/>
      <c r="D9" s="14"/>
      <c r="E9" s="14"/>
      <c r="F9" s="14"/>
      <c r="G9" s="14"/>
      <c r="H9" s="52" t="s">
        <v>17</v>
      </c>
      <c r="I9" s="41"/>
      <c r="J9" s="41"/>
      <c r="K9" s="41"/>
    </row>
    <row r="10" spans="1:11" ht="14.25" customHeight="1" x14ac:dyDescent="0.45">
      <c r="A10" s="14"/>
      <c r="B10" s="14"/>
      <c r="C10" s="14"/>
      <c r="D10" s="14"/>
      <c r="E10" s="14"/>
      <c r="F10" s="14"/>
      <c r="G10" s="14"/>
      <c r="H10" s="44"/>
      <c r="I10" s="44"/>
      <c r="J10" s="44"/>
      <c r="K10" s="44"/>
    </row>
    <row r="11" spans="1:11" ht="14.25" customHeight="1" x14ac:dyDescent="0.35"/>
    <row r="12" spans="1:11" ht="14.25" customHeight="1" x14ac:dyDescent="0.35"/>
    <row r="13" spans="1:11" ht="14.25" customHeight="1" x14ac:dyDescent="0.35"/>
    <row r="14" spans="1:11" ht="14.25" customHeight="1" x14ac:dyDescent="0.35"/>
    <row r="15" spans="1:11" ht="14.25" customHeight="1" x14ac:dyDescent="0.35"/>
    <row r="16" spans="1:11" ht="14.25" customHeight="1" x14ac:dyDescent="0.35"/>
    <row r="17" spans="1:8" ht="14.25" customHeight="1" x14ac:dyDescent="0.35">
      <c r="A17" s="53" t="s">
        <v>18</v>
      </c>
      <c r="B17" s="44"/>
      <c r="C17" s="44"/>
      <c r="D17" s="44"/>
      <c r="E17" s="44"/>
    </row>
    <row r="18" spans="1:8" ht="14.25" customHeight="1" x14ac:dyDescent="0.35">
      <c r="A18" s="44"/>
      <c r="B18" s="44"/>
      <c r="C18" s="44"/>
      <c r="D18" s="44"/>
      <c r="E18" s="44"/>
    </row>
    <row r="19" spans="1:8" ht="14.25" customHeight="1" x14ac:dyDescent="0.35">
      <c r="A19" s="44"/>
      <c r="B19" s="44"/>
      <c r="C19" s="44"/>
      <c r="D19" s="44"/>
      <c r="E19" s="44"/>
    </row>
    <row r="20" spans="1:8" ht="14.25" customHeight="1" x14ac:dyDescent="0.35">
      <c r="A20" s="44"/>
      <c r="B20" s="44"/>
      <c r="C20" s="44"/>
      <c r="D20" s="44"/>
      <c r="E20" s="44"/>
    </row>
    <row r="21" spans="1:8" ht="14.25" customHeight="1" x14ac:dyDescent="0.35">
      <c r="A21" s="44"/>
      <c r="B21" s="44"/>
      <c r="C21" s="44"/>
      <c r="D21" s="44"/>
      <c r="E21" s="44"/>
    </row>
    <row r="22" spans="1:8" ht="14.25" customHeight="1" x14ac:dyDescent="0.35">
      <c r="A22" s="44"/>
      <c r="B22" s="44"/>
      <c r="C22" s="44"/>
      <c r="D22" s="44"/>
      <c r="E22" s="44"/>
      <c r="H22" s="17" t="s">
        <v>19</v>
      </c>
    </row>
    <row r="23" spans="1:8" ht="14.25" customHeight="1" x14ac:dyDescent="0.35">
      <c r="A23" s="44"/>
      <c r="B23" s="44"/>
      <c r="C23" s="44"/>
      <c r="D23" s="44"/>
      <c r="E23" s="44"/>
    </row>
    <row r="24" spans="1:8" ht="14.25" customHeight="1" x14ac:dyDescent="0.35">
      <c r="A24" s="44"/>
      <c r="B24" s="44"/>
      <c r="C24" s="44"/>
      <c r="D24" s="44"/>
      <c r="E24" s="44"/>
      <c r="H24" s="18" t="s">
        <v>20</v>
      </c>
    </row>
    <row r="25" spans="1:8" ht="14.25" customHeight="1" x14ac:dyDescent="0.35">
      <c r="H25" s="19"/>
    </row>
    <row r="26" spans="1:8" ht="14.25" customHeight="1" x14ac:dyDescent="0.35">
      <c r="H26" s="19" t="s">
        <v>21</v>
      </c>
    </row>
    <row r="27" spans="1:8" ht="14.25" customHeight="1" x14ac:dyDescent="0.35">
      <c r="H27" s="19"/>
    </row>
    <row r="28" spans="1:8" ht="14.25" customHeight="1" x14ac:dyDescent="0.35">
      <c r="E28" s="17" t="s">
        <v>22</v>
      </c>
      <c r="H28" s="19" t="s">
        <v>23</v>
      </c>
    </row>
    <row r="29" spans="1:8" ht="14.25" customHeight="1" x14ac:dyDescent="0.35"/>
    <row r="30" spans="1:8" ht="14.25" customHeight="1" x14ac:dyDescent="0.35">
      <c r="B30" s="18" t="s">
        <v>24</v>
      </c>
      <c r="E30" s="18" t="s">
        <v>25</v>
      </c>
      <c r="H30" s="18" t="s">
        <v>26</v>
      </c>
    </row>
    <row r="31" spans="1:8" ht="14.25" customHeight="1" x14ac:dyDescent="0.35">
      <c r="E31" s="19"/>
      <c r="H31" s="19"/>
    </row>
    <row r="32" spans="1:8" ht="14.25" customHeight="1" x14ac:dyDescent="0.35">
      <c r="B32" s="18" t="s">
        <v>27</v>
      </c>
      <c r="E32" s="19" t="s">
        <v>28</v>
      </c>
      <c r="H32" s="19" t="s">
        <v>29</v>
      </c>
    </row>
    <row r="33" spans="2:8" ht="14.25" customHeight="1" x14ac:dyDescent="0.35">
      <c r="B33" s="19"/>
      <c r="E33" s="19" t="s">
        <v>30</v>
      </c>
      <c r="H33" s="19" t="s">
        <v>31</v>
      </c>
    </row>
    <row r="34" spans="2:8" ht="14.25" customHeight="1" x14ac:dyDescent="0.35">
      <c r="B34" s="19" t="s">
        <v>32</v>
      </c>
    </row>
    <row r="35" spans="2:8" ht="14.25" customHeight="1" x14ac:dyDescent="0.35"/>
    <row r="36" spans="2:8" ht="14.25" customHeight="1" x14ac:dyDescent="0.35">
      <c r="B36" s="18" t="s">
        <v>33</v>
      </c>
    </row>
    <row r="37" spans="2:8" ht="14.25" customHeight="1" x14ac:dyDescent="0.35">
      <c r="B37" s="19"/>
      <c r="H37" s="17" t="s">
        <v>34</v>
      </c>
    </row>
    <row r="38" spans="2:8" ht="14.25" customHeight="1" x14ac:dyDescent="0.35">
      <c r="B38" s="19" t="s">
        <v>35</v>
      </c>
    </row>
    <row r="39" spans="2:8" ht="14.25" customHeight="1" x14ac:dyDescent="0.35">
      <c r="H39" s="18" t="s">
        <v>20</v>
      </c>
    </row>
    <row r="40" spans="2:8" ht="14.25" customHeight="1" x14ac:dyDescent="0.35">
      <c r="H40" s="19"/>
    </row>
    <row r="41" spans="2:8" ht="14.25" customHeight="1" x14ac:dyDescent="0.35">
      <c r="H41" s="19" t="s">
        <v>36</v>
      </c>
    </row>
    <row r="42" spans="2:8" ht="14.25" customHeight="1" x14ac:dyDescent="0.35">
      <c r="H42" s="19"/>
    </row>
    <row r="43" spans="2:8" ht="14.25" customHeight="1" x14ac:dyDescent="0.35">
      <c r="H43" s="19" t="s">
        <v>37</v>
      </c>
    </row>
    <row r="44" spans="2:8" ht="14.25" customHeight="1" x14ac:dyDescent="0.35"/>
    <row r="45" spans="2:8" ht="14.25" customHeight="1" x14ac:dyDescent="0.35">
      <c r="H45" s="18" t="s">
        <v>26</v>
      </c>
    </row>
    <row r="46" spans="2:8" ht="14.25" customHeight="1" x14ac:dyDescent="0.35">
      <c r="H46" s="19"/>
    </row>
    <row r="47" spans="2:8" ht="14.25" customHeight="1" x14ac:dyDescent="0.35">
      <c r="H47" s="19" t="s">
        <v>38</v>
      </c>
    </row>
    <row r="48" spans="2:8" ht="14.25" customHeight="1" x14ac:dyDescent="0.35">
      <c r="H48" s="19" t="s">
        <v>39</v>
      </c>
    </row>
    <row r="49" spans="8:8" ht="14.25" customHeight="1" x14ac:dyDescent="0.35"/>
    <row r="50" spans="8:8" ht="14.25" customHeight="1" x14ac:dyDescent="0.35"/>
    <row r="51" spans="8:8" ht="14.25" customHeight="1" x14ac:dyDescent="0.35"/>
    <row r="52" spans="8:8" ht="14.25" customHeight="1" x14ac:dyDescent="0.35">
      <c r="H52" s="17" t="s">
        <v>40</v>
      </c>
    </row>
    <row r="53" spans="8:8" ht="14.25" customHeight="1" x14ac:dyDescent="0.35"/>
    <row r="54" spans="8:8" ht="14.25" customHeight="1" x14ac:dyDescent="0.35">
      <c r="H54" s="18" t="s">
        <v>20</v>
      </c>
    </row>
    <row r="55" spans="8:8" ht="14.25" customHeight="1" x14ac:dyDescent="0.35">
      <c r="H55" s="19"/>
    </row>
    <row r="56" spans="8:8" ht="14.25" customHeight="1" x14ac:dyDescent="0.35">
      <c r="H56" s="19" t="s">
        <v>41</v>
      </c>
    </row>
    <row r="57" spans="8:8" ht="14.25" customHeight="1" x14ac:dyDescent="0.35"/>
    <row r="58" spans="8:8" ht="14.25" customHeight="1" x14ac:dyDescent="0.35">
      <c r="H58" s="18" t="s">
        <v>26</v>
      </c>
    </row>
    <row r="59" spans="8:8" ht="14.25" customHeight="1" x14ac:dyDescent="0.35">
      <c r="H59" s="19"/>
    </row>
    <row r="60" spans="8:8" ht="14.25" customHeight="1" x14ac:dyDescent="0.35">
      <c r="H60" s="19" t="s">
        <v>42</v>
      </c>
    </row>
    <row r="61" spans="8:8" ht="14.25" customHeight="1" x14ac:dyDescent="0.35"/>
    <row r="62" spans="8:8" ht="14.25" customHeight="1" x14ac:dyDescent="0.35"/>
    <row r="63" spans="8:8" ht="14.25" customHeight="1" x14ac:dyDescent="0.35"/>
    <row r="64" spans="8:8" ht="14.25" customHeight="1" x14ac:dyDescent="0.35"/>
    <row r="65" spans="1:6" ht="14.25" customHeight="1" x14ac:dyDescent="0.35"/>
    <row r="66" spans="1:6" ht="14.25" customHeight="1" x14ac:dyDescent="0.35"/>
    <row r="67" spans="1:6" ht="14.25" customHeight="1" x14ac:dyDescent="0.35"/>
    <row r="68" spans="1:6" ht="14.25" customHeight="1" x14ac:dyDescent="0.35"/>
    <row r="69" spans="1:6" ht="14.25" customHeight="1" x14ac:dyDescent="0.35"/>
    <row r="70" spans="1:6" ht="14.25" customHeight="1" x14ac:dyDescent="0.35"/>
    <row r="71" spans="1:6" ht="14.25" customHeight="1" x14ac:dyDescent="0.35"/>
    <row r="72" spans="1:6" ht="14.25" customHeight="1" x14ac:dyDescent="0.35"/>
    <row r="73" spans="1:6" ht="14.25" customHeight="1" x14ac:dyDescent="0.35"/>
    <row r="74" spans="1:6" ht="14.25" customHeight="1" x14ac:dyDescent="0.35"/>
    <row r="75" spans="1:6" ht="14.25" customHeight="1" x14ac:dyDescent="0.45">
      <c r="B75" s="20" t="s">
        <v>43</v>
      </c>
    </row>
    <row r="76" spans="1:6" ht="14.25" customHeight="1" x14ac:dyDescent="0.35"/>
    <row r="77" spans="1:6" ht="14.25" customHeight="1" x14ac:dyDescent="0.4">
      <c r="A77" s="58" t="s">
        <v>44</v>
      </c>
      <c r="B77" s="59"/>
      <c r="C77" s="59"/>
      <c r="D77" s="59"/>
      <c r="E77" s="59"/>
      <c r="F77" s="59"/>
    </row>
    <row r="78" spans="1:6" ht="14.25" customHeight="1" x14ac:dyDescent="0.4">
      <c r="A78" s="59"/>
      <c r="B78" s="59"/>
      <c r="C78" s="59"/>
      <c r="D78" s="59"/>
      <c r="E78" s="59"/>
      <c r="F78" s="59"/>
    </row>
    <row r="79" spans="1:6" ht="14.25" customHeight="1" x14ac:dyDescent="0.4">
      <c r="A79" s="59" t="s">
        <v>45</v>
      </c>
      <c r="B79" s="59" t="s">
        <v>46</v>
      </c>
      <c r="C79" s="59" t="s">
        <v>47</v>
      </c>
      <c r="D79" s="59" t="s">
        <v>48</v>
      </c>
      <c r="E79" s="59" t="s">
        <v>14</v>
      </c>
      <c r="F79" s="59" t="s">
        <v>15</v>
      </c>
    </row>
    <row r="80" spans="1:6" ht="14.25" customHeight="1" x14ac:dyDescent="0.4">
      <c r="A80" s="59">
        <v>615.85</v>
      </c>
      <c r="B80" s="59">
        <v>27.09</v>
      </c>
      <c r="C80" s="59">
        <v>13.84</v>
      </c>
      <c r="D80" s="59">
        <f>19.1765 + 0.04017*A80 - 1.17406*B80</f>
        <v>12.109909099999996</v>
      </c>
      <c r="E80" s="59">
        <f t="shared" ref="E80:E99" si="2">ABS(C80-D80)</f>
        <v>1.730090900000004</v>
      </c>
      <c r="F80" s="59">
        <f>AVERAGE(E80:E99)</f>
        <v>0.97986814999999949</v>
      </c>
    </row>
    <row r="81" spans="1:6" ht="14.25" customHeight="1" x14ac:dyDescent="0.4">
      <c r="A81" s="59">
        <v>790.43</v>
      </c>
      <c r="B81" s="59">
        <v>23.39</v>
      </c>
      <c r="C81" s="59">
        <v>23.03</v>
      </c>
      <c r="D81" s="59">
        <f t="shared" ref="D80:D99" si="3">19.1765 + 0.04017*A81 - 1.17406*B81</f>
        <v>23.466809699999988</v>
      </c>
      <c r="E81" s="59">
        <f t="shared" si="2"/>
        <v>0.43680969999998709</v>
      </c>
      <c r="F81" s="59"/>
    </row>
    <row r="82" spans="1:6" ht="14.25" customHeight="1" x14ac:dyDescent="0.4">
      <c r="A82" s="59">
        <v>813.68</v>
      </c>
      <c r="B82" s="59">
        <v>30.53</v>
      </c>
      <c r="C82" s="59">
        <v>15.12</v>
      </c>
      <c r="D82" s="59">
        <f t="shared" si="3"/>
        <v>16.017973799999993</v>
      </c>
      <c r="E82" s="59">
        <f t="shared" si="2"/>
        <v>0.89797379999999372</v>
      </c>
      <c r="F82" s="59"/>
    </row>
    <row r="83" spans="1:6" ht="14.25" customHeight="1" x14ac:dyDescent="0.4">
      <c r="A83" s="59">
        <v>1042.43</v>
      </c>
      <c r="B83" s="59">
        <v>20.72</v>
      </c>
      <c r="C83" s="59">
        <v>37.26</v>
      </c>
      <c r="D83" s="59">
        <f t="shared" si="3"/>
        <v>36.724389900000006</v>
      </c>
      <c r="E83" s="59">
        <f t="shared" si="2"/>
        <v>0.53561009999999243</v>
      </c>
      <c r="F83" s="59"/>
    </row>
    <row r="84" spans="1:6" ht="14.25" customHeight="1" x14ac:dyDescent="0.4">
      <c r="A84" s="59">
        <v>1057.47</v>
      </c>
      <c r="B84" s="59">
        <v>21.27</v>
      </c>
      <c r="C84" s="59">
        <v>36.57</v>
      </c>
      <c r="D84" s="59">
        <f t="shared" si="3"/>
        <v>36.682813699999997</v>
      </c>
      <c r="E84" s="59">
        <f t="shared" si="2"/>
        <v>0.11281369999999669</v>
      </c>
      <c r="F84" s="59"/>
    </row>
    <row r="85" spans="1:6" ht="14.25" customHeight="1" x14ac:dyDescent="0.4">
      <c r="A85" s="59">
        <v>865.67</v>
      </c>
      <c r="B85" s="59">
        <v>24.03</v>
      </c>
      <c r="C85" s="59">
        <v>22.95</v>
      </c>
      <c r="D85" s="59">
        <f t="shared" si="3"/>
        <v>25.7378021</v>
      </c>
      <c r="E85" s="59">
        <f t="shared" si="2"/>
        <v>2.7878021000000004</v>
      </c>
      <c r="F85" s="59"/>
    </row>
    <row r="86" spans="1:6" ht="14.25" customHeight="1" x14ac:dyDescent="0.4">
      <c r="A86" s="59">
        <v>822.44</v>
      </c>
      <c r="B86" s="59">
        <v>24.43</v>
      </c>
      <c r="C86" s="59">
        <v>25.49</v>
      </c>
      <c r="D86" s="59">
        <f t="shared" si="3"/>
        <v>23.531628999999995</v>
      </c>
      <c r="E86" s="59">
        <f t="shared" si="2"/>
        <v>1.9583710000000032</v>
      </c>
      <c r="F86" s="59"/>
    </row>
    <row r="87" spans="1:6" ht="14.25" customHeight="1" x14ac:dyDescent="0.4">
      <c r="A87" s="59">
        <v>1044.75</v>
      </c>
      <c r="B87" s="59">
        <v>21.51</v>
      </c>
      <c r="C87" s="59">
        <v>36.01</v>
      </c>
      <c r="D87" s="59">
        <f t="shared" si="3"/>
        <v>35.890076899999997</v>
      </c>
      <c r="E87" s="59">
        <f t="shared" si="2"/>
        <v>0.11992310000000117</v>
      </c>
      <c r="F87" s="59"/>
    </row>
    <row r="88" spans="1:6" ht="14.25" customHeight="1" x14ac:dyDescent="0.4">
      <c r="A88" s="59">
        <v>1121.0999999999999</v>
      </c>
      <c r="B88" s="59">
        <v>33.619999999999997</v>
      </c>
      <c r="C88" s="59">
        <v>25.61</v>
      </c>
      <c r="D88" s="59">
        <f t="shared" si="3"/>
        <v>24.739189799999991</v>
      </c>
      <c r="E88" s="59">
        <f t="shared" si="2"/>
        <v>0.87081020000000819</v>
      </c>
      <c r="F88" s="59"/>
    </row>
    <row r="89" spans="1:6" ht="14.25" customHeight="1" x14ac:dyDescent="0.4">
      <c r="A89" s="59">
        <v>972.44</v>
      </c>
      <c r="B89" s="59">
        <v>32.08</v>
      </c>
      <c r="C89" s="59">
        <v>18.649999999999999</v>
      </c>
      <c r="D89" s="59">
        <f t="shared" si="3"/>
        <v>20.575570000000006</v>
      </c>
      <c r="E89" s="59">
        <f t="shared" si="2"/>
        <v>1.9255700000000076</v>
      </c>
      <c r="F89" s="59"/>
    </row>
    <row r="90" spans="1:6" ht="14.25" customHeight="1" x14ac:dyDescent="0.4">
      <c r="A90" s="59">
        <v>1060.3399999999999</v>
      </c>
      <c r="B90" s="59">
        <v>19.82</v>
      </c>
      <c r="C90" s="59">
        <v>40.57</v>
      </c>
      <c r="D90" s="59">
        <f t="shared" si="3"/>
        <v>38.500488599999997</v>
      </c>
      <c r="E90" s="59">
        <f t="shared" si="2"/>
        <v>2.0695114000000032</v>
      </c>
      <c r="F90" s="59"/>
    </row>
    <row r="91" spans="1:6" ht="14.25" customHeight="1" x14ac:dyDescent="0.4">
      <c r="A91" s="59">
        <v>1157.3800000000001</v>
      </c>
      <c r="B91" s="59">
        <v>24.28</v>
      </c>
      <c r="C91" s="59">
        <v>36.28</v>
      </c>
      <c r="D91" s="59">
        <f t="shared" si="3"/>
        <v>37.162277799999998</v>
      </c>
      <c r="E91" s="59">
        <f t="shared" si="2"/>
        <v>0.88227779999999711</v>
      </c>
      <c r="F91" s="59"/>
    </row>
    <row r="92" spans="1:6" ht="14.25" customHeight="1" x14ac:dyDescent="0.4">
      <c r="A92" s="59">
        <v>528.46</v>
      </c>
      <c r="B92" s="59">
        <v>21.96</v>
      </c>
      <c r="C92" s="59">
        <v>14.63</v>
      </c>
      <c r="D92" s="59">
        <f t="shared" si="3"/>
        <v>14.622380599999993</v>
      </c>
      <c r="E92" s="59">
        <f t="shared" si="2"/>
        <v>7.6194000000082696E-3</v>
      </c>
      <c r="F92" s="59"/>
    </row>
    <row r="93" spans="1:6" ht="14.25" customHeight="1" x14ac:dyDescent="0.4">
      <c r="A93" s="59">
        <v>1112.97</v>
      </c>
      <c r="B93" s="59">
        <v>25.67</v>
      </c>
      <c r="C93" s="59">
        <v>31.61</v>
      </c>
      <c r="D93" s="59">
        <f t="shared" si="3"/>
        <v>33.746384699999993</v>
      </c>
      <c r="E93" s="59">
        <f t="shared" si="2"/>
        <v>2.1363846999999936</v>
      </c>
      <c r="F93" s="59"/>
    </row>
    <row r="94" spans="1:6" ht="14.25" customHeight="1" x14ac:dyDescent="0.4">
      <c r="A94" s="59">
        <v>693.59</v>
      </c>
      <c r="B94" s="59">
        <v>22.7</v>
      </c>
      <c r="C94" s="59">
        <v>20.260000000000002</v>
      </c>
      <c r="D94" s="59">
        <f t="shared" si="3"/>
        <v>20.386848299999993</v>
      </c>
      <c r="E94" s="59">
        <f t="shared" si="2"/>
        <v>0.12684829999999181</v>
      </c>
      <c r="F94" s="59"/>
    </row>
    <row r="95" spans="1:6" ht="14.25" customHeight="1" x14ac:dyDescent="0.4">
      <c r="A95" s="59">
        <v>833.04</v>
      </c>
      <c r="B95" s="59">
        <v>26.53</v>
      </c>
      <c r="C95" s="59">
        <v>21.14</v>
      </c>
      <c r="D95" s="59">
        <f t="shared" si="3"/>
        <v>21.491904999999999</v>
      </c>
      <c r="E95" s="59">
        <f t="shared" si="2"/>
        <v>0.35190499999999858</v>
      </c>
      <c r="F95" s="59"/>
    </row>
    <row r="96" spans="1:6" ht="14.25" customHeight="1" x14ac:dyDescent="0.4">
      <c r="A96" s="59">
        <v>1057.73</v>
      </c>
      <c r="B96" s="59">
        <v>33.68</v>
      </c>
      <c r="C96" s="59">
        <v>21.61</v>
      </c>
      <c r="D96" s="59">
        <f t="shared" si="3"/>
        <v>22.123173299999991</v>
      </c>
      <c r="E96" s="59">
        <f t="shared" si="2"/>
        <v>0.51317329999999117</v>
      </c>
      <c r="F96" s="59"/>
    </row>
    <row r="97" spans="1:6" ht="14.25" customHeight="1" x14ac:dyDescent="0.4">
      <c r="A97" s="59">
        <v>1002.07</v>
      </c>
      <c r="B97" s="59">
        <v>24.5</v>
      </c>
      <c r="C97" s="59">
        <v>31.34</v>
      </c>
      <c r="D97" s="59">
        <f t="shared" si="3"/>
        <v>30.665181899999993</v>
      </c>
      <c r="E97" s="59">
        <f t="shared" si="2"/>
        <v>0.67481810000000664</v>
      </c>
      <c r="F97" s="59"/>
    </row>
    <row r="98" spans="1:6" ht="14.25" customHeight="1" x14ac:dyDescent="0.4">
      <c r="A98" s="59">
        <v>603</v>
      </c>
      <c r="B98" s="59">
        <v>29.05</v>
      </c>
      <c r="C98" s="59">
        <v>9.35</v>
      </c>
      <c r="D98" s="59">
        <f t="shared" si="3"/>
        <v>9.2925669999999982</v>
      </c>
      <c r="E98" s="59">
        <f t="shared" si="2"/>
        <v>5.74330000000014E-2</v>
      </c>
      <c r="F98" s="59"/>
    </row>
    <row r="99" spans="1:6" ht="14.25" customHeight="1" x14ac:dyDescent="0.4">
      <c r="A99" s="59">
        <v>961.12</v>
      </c>
      <c r="B99" s="59">
        <v>28.13</v>
      </c>
      <c r="C99" s="59">
        <v>26.16</v>
      </c>
      <c r="D99" s="59">
        <f t="shared" si="3"/>
        <v>24.758382599999997</v>
      </c>
      <c r="E99" s="59">
        <f t="shared" si="2"/>
        <v>1.4016174000000028</v>
      </c>
      <c r="F99" s="59"/>
    </row>
    <row r="100" spans="1:6" ht="14.25" customHeight="1" x14ac:dyDescent="0.4">
      <c r="A100" s="59"/>
      <c r="B100" s="59"/>
      <c r="C100" s="59"/>
      <c r="D100" s="59"/>
      <c r="E100" s="59"/>
      <c r="F100" s="59"/>
    </row>
    <row r="101" spans="1:6" ht="14.25" customHeight="1" x14ac:dyDescent="0.4">
      <c r="A101" s="59"/>
      <c r="B101" s="59"/>
      <c r="C101" s="59"/>
      <c r="D101" s="59"/>
      <c r="E101" s="59"/>
      <c r="F101" s="59"/>
    </row>
    <row r="102" spans="1:6" ht="14.25" customHeight="1" x14ac:dyDescent="0.4">
      <c r="A102" s="59"/>
      <c r="B102" s="59"/>
      <c r="C102" s="59"/>
      <c r="D102" s="59"/>
      <c r="E102" s="59"/>
      <c r="F102" s="59"/>
    </row>
    <row r="103" spans="1:6" ht="14.25" customHeight="1" x14ac:dyDescent="0.4">
      <c r="A103" s="59"/>
      <c r="B103" s="59"/>
      <c r="C103" s="59"/>
      <c r="D103" s="59"/>
      <c r="E103" s="59"/>
      <c r="F103" s="59"/>
    </row>
    <row r="104" spans="1:6" ht="14.25" customHeight="1" x14ac:dyDescent="0.4">
      <c r="A104" s="59"/>
      <c r="B104" s="59"/>
      <c r="C104" s="59"/>
      <c r="D104" s="59"/>
      <c r="E104" s="59"/>
      <c r="F104" s="59"/>
    </row>
    <row r="105" spans="1:6" ht="14.25" customHeight="1" x14ac:dyDescent="0.4">
      <c r="A105" s="59"/>
      <c r="B105" s="59"/>
      <c r="C105" s="59"/>
      <c r="D105" s="59"/>
      <c r="E105" s="59"/>
      <c r="F105" s="59"/>
    </row>
    <row r="106" spans="1:6" ht="14.25" customHeight="1" x14ac:dyDescent="0.4">
      <c r="A106" s="60" t="s">
        <v>49</v>
      </c>
      <c r="B106" s="59"/>
      <c r="C106" s="59"/>
      <c r="D106" s="59"/>
      <c r="E106" s="59"/>
      <c r="F106" s="59"/>
    </row>
    <row r="107" spans="1:6" ht="14.25" customHeight="1" x14ac:dyDescent="0.4">
      <c r="A107" s="58" t="s">
        <v>50</v>
      </c>
      <c r="B107" s="59"/>
      <c r="C107" s="59"/>
      <c r="D107" s="59"/>
      <c r="E107" s="59"/>
      <c r="F107" s="59"/>
    </row>
    <row r="108" spans="1:6" ht="14.25" customHeight="1" x14ac:dyDescent="0.4">
      <c r="A108" s="59"/>
      <c r="B108" s="59"/>
      <c r="C108" s="59"/>
      <c r="D108" s="59"/>
      <c r="E108" s="59"/>
      <c r="F108" s="59"/>
    </row>
    <row r="109" spans="1:6" ht="14.25" customHeight="1" x14ac:dyDescent="0.4">
      <c r="A109" s="58" t="s">
        <v>51</v>
      </c>
      <c r="B109" s="58" t="s">
        <v>52</v>
      </c>
      <c r="C109" s="58" t="s">
        <v>53</v>
      </c>
      <c r="D109" s="58" t="s">
        <v>54</v>
      </c>
      <c r="E109" s="58" t="s">
        <v>55</v>
      </c>
      <c r="F109" s="58" t="s">
        <v>15</v>
      </c>
    </row>
    <row r="110" spans="1:6" ht="14.25" customHeight="1" x14ac:dyDescent="0.4">
      <c r="A110" s="61">
        <v>1089.03</v>
      </c>
      <c r="B110" s="61">
        <v>22.71</v>
      </c>
      <c r="C110" s="61">
        <v>37.33</v>
      </c>
      <c r="D110" s="61">
        <f>18.8663+0.04028*A110-1.16849*B110</f>
        <v>36.196020500000003</v>
      </c>
      <c r="E110" s="61">
        <f t="shared" ref="E110:E139" si="4">ABS(C110-D110)</f>
        <v>1.1339794999999953</v>
      </c>
      <c r="F110" s="61">
        <f>AVERAGE(E110:E139)</f>
        <v>0.9552809033333336</v>
      </c>
    </row>
    <row r="111" spans="1:6" ht="14.25" customHeight="1" x14ac:dyDescent="0.4">
      <c r="A111" s="61">
        <v>591.78</v>
      </c>
      <c r="B111" s="61">
        <v>20.05</v>
      </c>
      <c r="C111" s="61">
        <v>18.5</v>
      </c>
      <c r="D111" s="61">
        <f t="shared" ref="D110:D139" si="5">18.8663+0.04028*A111-1.16849*B111</f>
        <v>19.274973900000003</v>
      </c>
      <c r="E111" s="61">
        <f t="shared" si="4"/>
        <v>0.77497390000000266</v>
      </c>
      <c r="F111" s="61"/>
    </row>
    <row r="112" spans="1:6" ht="14.25" customHeight="1" x14ac:dyDescent="0.4">
      <c r="A112" s="61">
        <v>716.11</v>
      </c>
      <c r="B112" s="61">
        <v>33.479999999999997</v>
      </c>
      <c r="C112" s="61">
        <v>8.39</v>
      </c>
      <c r="D112" s="61">
        <f t="shared" si="5"/>
        <v>8.590165600000006</v>
      </c>
      <c r="E112" s="61">
        <f t="shared" si="4"/>
        <v>0.20016560000000538</v>
      </c>
      <c r="F112" s="61"/>
    </row>
    <row r="113" spans="1:6" ht="14.25" customHeight="1" x14ac:dyDescent="0.4">
      <c r="A113" s="61">
        <v>824.1</v>
      </c>
      <c r="B113" s="61">
        <v>18.52</v>
      </c>
      <c r="C113" s="61">
        <v>31.82</v>
      </c>
      <c r="D113" s="61">
        <f t="shared" si="5"/>
        <v>30.420613199999998</v>
      </c>
      <c r="E113" s="61">
        <f t="shared" si="4"/>
        <v>1.399386800000002</v>
      </c>
      <c r="F113" s="61"/>
    </row>
    <row r="114" spans="1:6" ht="14.25" customHeight="1" x14ac:dyDescent="0.4">
      <c r="A114" s="61">
        <v>1019.29</v>
      </c>
      <c r="B114" s="61">
        <v>29.43</v>
      </c>
      <c r="C114" s="61">
        <v>25.26</v>
      </c>
      <c r="D114" s="61">
        <f t="shared" si="5"/>
        <v>25.534640499999995</v>
      </c>
      <c r="E114" s="61">
        <f t="shared" si="4"/>
        <v>0.27464049999999318</v>
      </c>
      <c r="F114" s="61"/>
    </row>
    <row r="115" spans="1:6" ht="14.25" customHeight="1" x14ac:dyDescent="0.4">
      <c r="A115" s="61">
        <v>840.08</v>
      </c>
      <c r="B115" s="61">
        <v>19.21</v>
      </c>
      <c r="C115" s="61">
        <v>29.77</v>
      </c>
      <c r="D115" s="61">
        <f t="shared" si="5"/>
        <v>30.258029500000006</v>
      </c>
      <c r="E115" s="61">
        <f t="shared" si="4"/>
        <v>0.48802950000000678</v>
      </c>
      <c r="F115" s="61"/>
    </row>
    <row r="116" spans="1:6" ht="14.25" customHeight="1" x14ac:dyDescent="0.4">
      <c r="A116" s="61">
        <v>595.80999999999995</v>
      </c>
      <c r="B116" s="61">
        <v>24.13</v>
      </c>
      <c r="C116" s="61">
        <v>16.329999999999998</v>
      </c>
      <c r="D116" s="61">
        <f t="shared" si="5"/>
        <v>14.669863099999997</v>
      </c>
      <c r="E116" s="61">
        <f t="shared" si="4"/>
        <v>1.6601369000000012</v>
      </c>
      <c r="F116" s="61"/>
    </row>
    <row r="117" spans="1:6" ht="14.25" customHeight="1" x14ac:dyDescent="0.4">
      <c r="A117" s="61">
        <v>740.48</v>
      </c>
      <c r="B117" s="61">
        <v>25.11</v>
      </c>
      <c r="C117" s="61">
        <v>19.64</v>
      </c>
      <c r="D117" s="61">
        <f t="shared" si="5"/>
        <v>19.352050500000001</v>
      </c>
      <c r="E117" s="61">
        <f t="shared" si="4"/>
        <v>0.28794949999999986</v>
      </c>
      <c r="F117" s="61"/>
    </row>
    <row r="118" spans="1:6" ht="14.25" customHeight="1" x14ac:dyDescent="0.4">
      <c r="A118" s="61">
        <v>727.1</v>
      </c>
      <c r="B118" s="61">
        <v>21.08</v>
      </c>
      <c r="C118" s="61">
        <v>24.38</v>
      </c>
      <c r="D118" s="61">
        <f t="shared" si="5"/>
        <v>23.522118800000005</v>
      </c>
      <c r="E118" s="61">
        <f t="shared" si="4"/>
        <v>0.85788119999999424</v>
      </c>
      <c r="F118" s="61"/>
    </row>
    <row r="119" spans="1:6" ht="14.25" customHeight="1" x14ac:dyDescent="0.4">
      <c r="A119" s="61">
        <v>710.29</v>
      </c>
      <c r="B119" s="61">
        <v>26.86</v>
      </c>
      <c r="C119" s="61">
        <v>17.940000000000001</v>
      </c>
      <c r="D119" s="61">
        <f t="shared" si="5"/>
        <v>16.091139800000004</v>
      </c>
      <c r="E119" s="61">
        <f t="shared" si="4"/>
        <v>1.8488601999999972</v>
      </c>
      <c r="F119" s="61"/>
    </row>
    <row r="120" spans="1:6" ht="14.25" customHeight="1" x14ac:dyDescent="0.4">
      <c r="A120" s="61">
        <v>615.85</v>
      </c>
      <c r="B120" s="61">
        <v>27.09</v>
      </c>
      <c r="C120" s="61">
        <v>13.84</v>
      </c>
      <c r="D120" s="61">
        <f t="shared" si="5"/>
        <v>12.018343900000001</v>
      </c>
      <c r="E120" s="61">
        <f t="shared" si="4"/>
        <v>1.8216560999999984</v>
      </c>
      <c r="F120" s="61"/>
    </row>
    <row r="121" spans="1:6" ht="14.25" customHeight="1" x14ac:dyDescent="0.4">
      <c r="A121" s="61">
        <v>790.43</v>
      </c>
      <c r="B121" s="61">
        <v>23.39</v>
      </c>
      <c r="C121" s="61">
        <v>23.03</v>
      </c>
      <c r="D121" s="61">
        <f t="shared" si="5"/>
        <v>23.3738393</v>
      </c>
      <c r="E121" s="61">
        <f t="shared" si="4"/>
        <v>0.34383929999999907</v>
      </c>
      <c r="F121" s="61"/>
    </row>
    <row r="122" spans="1:6" ht="14.25" customHeight="1" x14ac:dyDescent="0.4">
      <c r="A122" s="61">
        <v>813.68</v>
      </c>
      <c r="B122" s="61">
        <v>30.53</v>
      </c>
      <c r="C122" s="61">
        <v>15.12</v>
      </c>
      <c r="D122" s="61">
        <f t="shared" si="5"/>
        <v>15.967330699999998</v>
      </c>
      <c r="E122" s="61">
        <f t="shared" si="4"/>
        <v>0.84733069999999877</v>
      </c>
      <c r="F122" s="61"/>
    </row>
    <row r="123" spans="1:6" ht="14.25" customHeight="1" x14ac:dyDescent="0.4">
      <c r="A123" s="61">
        <v>1042.43</v>
      </c>
      <c r="B123" s="61">
        <v>20.72</v>
      </c>
      <c r="C123" s="61">
        <v>37.26</v>
      </c>
      <c r="D123" s="61">
        <f t="shared" si="5"/>
        <v>36.644267600000006</v>
      </c>
      <c r="E123" s="61">
        <f t="shared" si="4"/>
        <v>0.61573239999999174</v>
      </c>
      <c r="F123" s="61"/>
    </row>
    <row r="124" spans="1:6" ht="14.25" customHeight="1" x14ac:dyDescent="0.4">
      <c r="A124" s="61">
        <v>1057.47</v>
      </c>
      <c r="B124" s="61">
        <v>21.27</v>
      </c>
      <c r="C124" s="61">
        <v>36.57</v>
      </c>
      <c r="D124" s="61">
        <f t="shared" si="5"/>
        <v>36.607409300000008</v>
      </c>
      <c r="E124" s="61">
        <f t="shared" si="4"/>
        <v>3.7409300000007306E-2</v>
      </c>
      <c r="F124" s="61"/>
    </row>
    <row r="125" spans="1:6" ht="14.25" customHeight="1" x14ac:dyDescent="0.4">
      <c r="A125" s="61">
        <v>865.67</v>
      </c>
      <c r="B125" s="61">
        <v>24.03</v>
      </c>
      <c r="C125" s="61">
        <v>22.95</v>
      </c>
      <c r="D125" s="61">
        <f t="shared" si="5"/>
        <v>25.656672899999997</v>
      </c>
      <c r="E125" s="61">
        <f t="shared" si="4"/>
        <v>2.7066728999999974</v>
      </c>
      <c r="F125" s="61"/>
    </row>
    <row r="126" spans="1:6" ht="14.25" customHeight="1" x14ac:dyDescent="0.4">
      <c r="A126" s="61">
        <v>822.44</v>
      </c>
      <c r="B126" s="61">
        <v>24.43</v>
      </c>
      <c r="C126" s="61">
        <v>25.49</v>
      </c>
      <c r="D126" s="61">
        <f t="shared" si="5"/>
        <v>23.447972500000009</v>
      </c>
      <c r="E126" s="61">
        <f t="shared" si="4"/>
        <v>2.042027499999989</v>
      </c>
      <c r="F126" s="61"/>
    </row>
    <row r="127" spans="1:6" ht="14.25" customHeight="1" x14ac:dyDescent="0.4">
      <c r="A127" s="61">
        <v>1044.75</v>
      </c>
      <c r="B127" s="61">
        <v>21.51</v>
      </c>
      <c r="C127" s="61">
        <v>36.01</v>
      </c>
      <c r="D127" s="61">
        <f t="shared" si="5"/>
        <v>35.814610099999996</v>
      </c>
      <c r="E127" s="61">
        <f t="shared" si="4"/>
        <v>0.19538990000000211</v>
      </c>
      <c r="F127" s="61"/>
    </row>
    <row r="128" spans="1:6" ht="14.25" customHeight="1" x14ac:dyDescent="0.4">
      <c r="A128" s="61">
        <v>1121.0999999999999</v>
      </c>
      <c r="B128" s="61">
        <v>33.619999999999997</v>
      </c>
      <c r="C128" s="61">
        <v>25.61</v>
      </c>
      <c r="D128" s="61">
        <f t="shared" si="5"/>
        <v>24.739574200000007</v>
      </c>
      <c r="E128" s="61">
        <f t="shared" si="4"/>
        <v>0.87042579999999248</v>
      </c>
      <c r="F128" s="61"/>
    </row>
    <row r="129" spans="1:6" ht="14.25" customHeight="1" x14ac:dyDescent="0.4">
      <c r="A129" s="61">
        <v>972.44</v>
      </c>
      <c r="B129" s="61">
        <v>32.08</v>
      </c>
      <c r="C129" s="61">
        <v>18.649999999999999</v>
      </c>
      <c r="D129" s="61">
        <f t="shared" si="5"/>
        <v>20.551024000000012</v>
      </c>
      <c r="E129" s="61">
        <f t="shared" si="4"/>
        <v>1.9010240000000138</v>
      </c>
      <c r="F129" s="61"/>
    </row>
    <row r="130" spans="1:6" ht="14.25" customHeight="1" x14ac:dyDescent="0.4">
      <c r="A130" s="61">
        <v>1060.3399999999999</v>
      </c>
      <c r="B130" s="61">
        <v>19.82</v>
      </c>
      <c r="C130" s="61">
        <v>40.57</v>
      </c>
      <c r="D130" s="61">
        <f t="shared" si="5"/>
        <v>38.417323399999987</v>
      </c>
      <c r="E130" s="61">
        <f t="shared" si="4"/>
        <v>2.1526766000000137</v>
      </c>
      <c r="F130" s="61"/>
    </row>
    <row r="131" spans="1:6" ht="14.25" customHeight="1" x14ac:dyDescent="0.4">
      <c r="A131" s="61">
        <v>1157.3800000000001</v>
      </c>
      <c r="B131" s="61">
        <v>24.28</v>
      </c>
      <c r="C131" s="61">
        <v>36.28</v>
      </c>
      <c r="D131" s="61">
        <f t="shared" si="5"/>
        <v>37.11462920000001</v>
      </c>
      <c r="E131" s="61">
        <f t="shared" si="4"/>
        <v>0.83462920000000906</v>
      </c>
      <c r="F131" s="61"/>
    </row>
    <row r="132" spans="1:6" ht="14.25" customHeight="1" x14ac:dyDescent="0.4">
      <c r="A132" s="61">
        <v>528.46</v>
      </c>
      <c r="B132" s="61">
        <v>21.96</v>
      </c>
      <c r="C132" s="61">
        <v>14.63</v>
      </c>
      <c r="D132" s="61">
        <f t="shared" si="5"/>
        <v>14.492628399999997</v>
      </c>
      <c r="E132" s="61">
        <f t="shared" si="4"/>
        <v>0.13737160000000337</v>
      </c>
      <c r="F132" s="61"/>
    </row>
    <row r="133" spans="1:6" ht="14.25" customHeight="1" x14ac:dyDescent="0.4">
      <c r="A133" s="61">
        <v>1112.97</v>
      </c>
      <c r="B133" s="61">
        <v>25.67</v>
      </c>
      <c r="C133" s="61">
        <v>31.61</v>
      </c>
      <c r="D133" s="61">
        <f t="shared" si="5"/>
        <v>33.701593299999999</v>
      </c>
      <c r="E133" s="61">
        <f t="shared" si="4"/>
        <v>2.0915932999999995</v>
      </c>
      <c r="F133" s="61"/>
    </row>
    <row r="134" spans="1:6" ht="14.25" customHeight="1" x14ac:dyDescent="0.4">
      <c r="A134" s="61">
        <v>693.59</v>
      </c>
      <c r="B134" s="61">
        <v>22.7</v>
      </c>
      <c r="C134" s="61">
        <v>20.260000000000002</v>
      </c>
      <c r="D134" s="61">
        <f t="shared" si="5"/>
        <v>20.279382200000004</v>
      </c>
      <c r="E134" s="61">
        <f t="shared" si="4"/>
        <v>1.938220000000257E-2</v>
      </c>
      <c r="F134" s="61"/>
    </row>
    <row r="135" spans="1:6" ht="14.25" customHeight="1" x14ac:dyDescent="0.4">
      <c r="A135" s="61">
        <v>833.04</v>
      </c>
      <c r="B135" s="61">
        <v>26.53</v>
      </c>
      <c r="C135" s="61">
        <v>21.14</v>
      </c>
      <c r="D135" s="61">
        <f t="shared" si="5"/>
        <v>21.421111499999995</v>
      </c>
      <c r="E135" s="61">
        <f t="shared" si="4"/>
        <v>0.28111149999999441</v>
      </c>
      <c r="F135" s="61"/>
    </row>
    <row r="136" spans="1:6" ht="14.25" customHeight="1" x14ac:dyDescent="0.4">
      <c r="A136" s="61">
        <v>1057.73</v>
      </c>
      <c r="B136" s="61">
        <v>33.68</v>
      </c>
      <c r="C136" s="61">
        <v>21.61</v>
      </c>
      <c r="D136" s="61">
        <f t="shared" si="5"/>
        <v>22.116921200000007</v>
      </c>
      <c r="E136" s="61">
        <f t="shared" si="4"/>
        <v>0.50692120000000784</v>
      </c>
      <c r="F136" s="61"/>
    </row>
    <row r="137" spans="1:6" ht="14.25" customHeight="1" x14ac:dyDescent="0.4">
      <c r="A137" s="61">
        <v>1002.07</v>
      </c>
      <c r="B137" s="61">
        <v>24.5</v>
      </c>
      <c r="C137" s="61">
        <v>31.34</v>
      </c>
      <c r="D137" s="61">
        <f t="shared" si="5"/>
        <v>30.601674599999996</v>
      </c>
      <c r="E137" s="61">
        <f t="shared" si="4"/>
        <v>0.73832540000000435</v>
      </c>
      <c r="F137" s="61"/>
    </row>
    <row r="138" spans="1:6" ht="14.25" customHeight="1" x14ac:dyDescent="0.4">
      <c r="A138" s="61">
        <v>603</v>
      </c>
      <c r="B138" s="61">
        <v>29.05</v>
      </c>
      <c r="C138" s="61">
        <v>9.35</v>
      </c>
      <c r="D138" s="61">
        <f t="shared" si="5"/>
        <v>9.2105055000000036</v>
      </c>
      <c r="E138" s="61">
        <f t="shared" si="4"/>
        <v>0.13949449999999608</v>
      </c>
      <c r="F138" s="61"/>
    </row>
    <row r="139" spans="1:6" ht="14.25" customHeight="1" x14ac:dyDescent="0.4">
      <c r="A139" s="61">
        <v>961.12</v>
      </c>
      <c r="B139" s="61">
        <v>28.13</v>
      </c>
      <c r="C139" s="61">
        <v>26.16</v>
      </c>
      <c r="D139" s="61">
        <f t="shared" si="5"/>
        <v>24.710589900000009</v>
      </c>
      <c r="E139" s="61">
        <f t="shared" si="4"/>
        <v>1.4494100999999908</v>
      </c>
      <c r="F139" s="61"/>
    </row>
    <row r="140" spans="1:6" ht="14.25" customHeight="1" x14ac:dyDescent="0.4">
      <c r="A140" s="59"/>
      <c r="B140" s="59"/>
      <c r="C140" s="59"/>
      <c r="D140" s="59"/>
      <c r="E140" s="59"/>
      <c r="F140" s="59"/>
    </row>
    <row r="141" spans="1:6" ht="14.25" customHeight="1" x14ac:dyDescent="0.4">
      <c r="A141" s="59"/>
      <c r="B141" s="59"/>
      <c r="C141" s="59"/>
      <c r="D141" s="59"/>
      <c r="E141" s="59"/>
      <c r="F141" s="59"/>
    </row>
    <row r="142" spans="1:6" ht="14.25" customHeight="1" x14ac:dyDescent="0.4">
      <c r="A142" s="59"/>
      <c r="B142" s="59"/>
      <c r="C142" s="59"/>
      <c r="D142" s="59"/>
      <c r="E142" s="59"/>
      <c r="F142" s="59"/>
    </row>
    <row r="143" spans="1:6" ht="14.25" customHeight="1" x14ac:dyDescent="0.4">
      <c r="A143" s="59"/>
      <c r="B143" s="59"/>
      <c r="C143" s="59"/>
      <c r="D143" s="59"/>
      <c r="E143" s="59"/>
      <c r="F143" s="59"/>
    </row>
    <row r="144" spans="1:6" ht="14.25" customHeight="1" x14ac:dyDescent="0.4">
      <c r="A144" s="58"/>
      <c r="B144" s="59"/>
      <c r="C144" s="59"/>
      <c r="D144" s="59"/>
      <c r="E144" s="59"/>
      <c r="F144" s="59"/>
    </row>
    <row r="145" spans="1:6" ht="14.25" customHeight="1" x14ac:dyDescent="0.4">
      <c r="A145" s="59"/>
      <c r="B145" s="59"/>
      <c r="C145" s="59"/>
      <c r="D145" s="59"/>
      <c r="E145" s="59"/>
      <c r="F145" s="59"/>
    </row>
    <row r="146" spans="1:6" ht="14.25" customHeight="1" x14ac:dyDescent="0.4">
      <c r="A146" s="59"/>
      <c r="B146" s="59"/>
      <c r="C146" s="59"/>
      <c r="D146" s="59"/>
      <c r="E146" s="59"/>
      <c r="F146" s="59"/>
    </row>
    <row r="147" spans="1:6" ht="14.25" customHeight="1" x14ac:dyDescent="0.4">
      <c r="A147" s="58" t="s">
        <v>56</v>
      </c>
      <c r="B147" s="61"/>
      <c r="C147" s="59"/>
      <c r="D147" s="59"/>
      <c r="E147" s="59"/>
      <c r="F147" s="59"/>
    </row>
    <row r="148" spans="1:6" ht="14.25" customHeight="1" x14ac:dyDescent="0.4">
      <c r="A148" s="58" t="s">
        <v>57</v>
      </c>
      <c r="B148" s="59"/>
      <c r="C148" s="59"/>
      <c r="D148" s="59"/>
      <c r="E148" s="59"/>
      <c r="F148" s="59"/>
    </row>
    <row r="149" spans="1:6" ht="14.25" customHeight="1" x14ac:dyDescent="0.4">
      <c r="A149" s="59"/>
      <c r="B149" s="59"/>
      <c r="C149" s="59"/>
      <c r="D149" s="59"/>
      <c r="E149" s="59"/>
      <c r="F149" s="59"/>
    </row>
    <row r="150" spans="1:6" ht="14.25" customHeight="1" x14ac:dyDescent="0.4">
      <c r="A150" s="58" t="s">
        <v>8</v>
      </c>
      <c r="B150" s="58" t="s">
        <v>9</v>
      </c>
      <c r="C150" s="62" t="s">
        <v>58</v>
      </c>
      <c r="D150" s="58" t="s">
        <v>54</v>
      </c>
      <c r="E150" s="58" t="s">
        <v>55</v>
      </c>
      <c r="F150" s="58" t="s">
        <v>15</v>
      </c>
    </row>
    <row r="151" spans="1:6" ht="14.25" customHeight="1" x14ac:dyDescent="0.4">
      <c r="A151" s="61">
        <v>1168.83</v>
      </c>
      <c r="B151" s="61">
        <v>18.18</v>
      </c>
      <c r="C151" s="61">
        <v>44.05</v>
      </c>
      <c r="D151" s="61">
        <f>18.6947+0.04119*A151-1.19176*B151</f>
        <v>45.172610899999995</v>
      </c>
      <c r="E151" s="61">
        <f t="shared" ref="E151:E190" si="6">ABS(C151-D151)</f>
        <v>1.122610899999998</v>
      </c>
      <c r="F151" s="61">
        <f>AVERAGE(E151:E190)</f>
        <v>0.94571530749999932</v>
      </c>
    </row>
    <row r="152" spans="1:6" ht="14.25" customHeight="1" x14ac:dyDescent="0.4">
      <c r="A152" s="61">
        <v>978.04</v>
      </c>
      <c r="B152" s="61">
        <v>32.119999999999997</v>
      </c>
      <c r="C152" s="61">
        <v>20.64</v>
      </c>
      <c r="D152" s="61">
        <f t="shared" ref="D151:D190" si="7">18.6947+0.04119*A152-1.19176*B152</f>
        <v>20.700836400000007</v>
      </c>
      <c r="E152" s="61">
        <f t="shared" si="6"/>
        <v>6.0836400000006563E-2</v>
      </c>
      <c r="F152" s="59"/>
    </row>
    <row r="153" spans="1:6" ht="14.25" customHeight="1" x14ac:dyDescent="0.4">
      <c r="A153" s="61">
        <v>537.19000000000005</v>
      </c>
      <c r="B153" s="61">
        <v>33.75</v>
      </c>
      <c r="C153" s="61">
        <v>0.69</v>
      </c>
      <c r="D153" s="61">
        <f t="shared" si="7"/>
        <v>0.59965610000000424</v>
      </c>
      <c r="E153" s="61">
        <f t="shared" si="6"/>
        <v>9.0343899999995703E-2</v>
      </c>
      <c r="F153" s="59"/>
    </row>
    <row r="154" spans="1:6" ht="14.25" customHeight="1" x14ac:dyDescent="0.4">
      <c r="A154" s="61">
        <v>716.2</v>
      </c>
      <c r="B154" s="61">
        <v>25.8</v>
      </c>
      <c r="C154" s="61">
        <v>18.579999999999998</v>
      </c>
      <c r="D154" s="61">
        <f t="shared" si="7"/>
        <v>17.447570000000006</v>
      </c>
      <c r="E154" s="61">
        <f t="shared" si="6"/>
        <v>1.1324299999999923</v>
      </c>
      <c r="F154" s="59"/>
    </row>
    <row r="155" spans="1:6" ht="14.25" customHeight="1" x14ac:dyDescent="0.4">
      <c r="A155" s="61">
        <v>914.82</v>
      </c>
      <c r="B155" s="61">
        <v>31.11</v>
      </c>
      <c r="C155" s="61">
        <v>19.52</v>
      </c>
      <c r="D155" s="61">
        <f t="shared" si="7"/>
        <v>19.300482200000005</v>
      </c>
      <c r="E155" s="61">
        <f t="shared" si="6"/>
        <v>0.21951779999999488</v>
      </c>
      <c r="F155" s="59"/>
    </row>
    <row r="156" spans="1:6" ht="14.25" customHeight="1" x14ac:dyDescent="0.4">
      <c r="A156" s="61">
        <v>664.58</v>
      </c>
      <c r="B156" s="61">
        <v>32.729999999999997</v>
      </c>
      <c r="C156" s="61">
        <v>9.92</v>
      </c>
      <c r="D156" s="61">
        <f t="shared" si="7"/>
        <v>7.0624454000000014</v>
      </c>
      <c r="E156" s="61">
        <f t="shared" si="6"/>
        <v>2.8575545999999985</v>
      </c>
      <c r="F156" s="59"/>
    </row>
    <row r="157" spans="1:6" ht="14.25" customHeight="1" x14ac:dyDescent="0.4">
      <c r="A157" s="61">
        <v>1175.48</v>
      </c>
      <c r="B157" s="61">
        <v>28.36</v>
      </c>
      <c r="C157" s="61">
        <v>32.65</v>
      </c>
      <c r="D157" s="61">
        <f t="shared" si="7"/>
        <v>33.314407599999996</v>
      </c>
      <c r="E157" s="61">
        <f t="shared" si="6"/>
        <v>0.66440759999999699</v>
      </c>
      <c r="F157" s="59"/>
    </row>
    <row r="158" spans="1:6" ht="14.25" customHeight="1" x14ac:dyDescent="0.4">
      <c r="A158" s="61">
        <v>1161.53</v>
      </c>
      <c r="B158" s="61">
        <v>32.83</v>
      </c>
      <c r="C158" s="61">
        <v>26.72</v>
      </c>
      <c r="D158" s="61">
        <f t="shared" si="7"/>
        <v>27.412639899999995</v>
      </c>
      <c r="E158" s="61">
        <f t="shared" si="6"/>
        <v>0.69263989999999609</v>
      </c>
      <c r="F158" s="59"/>
    </row>
    <row r="159" spans="1:6" ht="14.25" customHeight="1" x14ac:dyDescent="0.4">
      <c r="A159" s="61">
        <v>1093.8800000000001</v>
      </c>
      <c r="B159" s="61">
        <v>18.41</v>
      </c>
      <c r="C159" s="61">
        <v>40.11</v>
      </c>
      <c r="D159" s="61">
        <f t="shared" si="7"/>
        <v>41.8113156</v>
      </c>
      <c r="E159" s="61">
        <f t="shared" si="6"/>
        <v>1.7013156000000009</v>
      </c>
      <c r="F159" s="59"/>
    </row>
    <row r="160" spans="1:6" ht="14.25" customHeight="1" x14ac:dyDescent="0.4">
      <c r="A160" s="61">
        <v>830.63</v>
      </c>
      <c r="B160" s="61">
        <v>22.62</v>
      </c>
      <c r="C160" s="61">
        <v>26.12</v>
      </c>
      <c r="D160" s="61">
        <f t="shared" si="7"/>
        <v>25.950738500000003</v>
      </c>
      <c r="E160" s="61">
        <f t="shared" si="6"/>
        <v>0.16926149999999751</v>
      </c>
      <c r="F160" s="59"/>
    </row>
    <row r="161" spans="1:6" ht="14.25" customHeight="1" x14ac:dyDescent="0.4">
      <c r="A161" s="61">
        <v>1089.03</v>
      </c>
      <c r="B161" s="61">
        <v>22.71</v>
      </c>
      <c r="C161" s="61">
        <v>37.33</v>
      </c>
      <c r="D161" s="61">
        <f t="shared" si="7"/>
        <v>36.486976100000007</v>
      </c>
      <c r="E161" s="61">
        <f t="shared" si="6"/>
        <v>0.8430238999999915</v>
      </c>
      <c r="F161" s="59"/>
    </row>
    <row r="162" spans="1:6" ht="14.25" customHeight="1" x14ac:dyDescent="0.4">
      <c r="A162" s="61">
        <v>591.78</v>
      </c>
      <c r="B162" s="61">
        <v>20.05</v>
      </c>
      <c r="C162" s="61">
        <v>18.5</v>
      </c>
      <c r="D162" s="61">
        <f t="shared" si="7"/>
        <v>19.175330199999998</v>
      </c>
      <c r="E162" s="61">
        <f t="shared" si="6"/>
        <v>0.67533019999999766</v>
      </c>
      <c r="F162" s="59"/>
    </row>
    <row r="163" spans="1:6" ht="14.25" customHeight="1" x14ac:dyDescent="0.4">
      <c r="A163" s="61">
        <v>716.11</v>
      </c>
      <c r="B163" s="61">
        <v>33.479999999999997</v>
      </c>
      <c r="C163" s="61">
        <v>8.39</v>
      </c>
      <c r="D163" s="61">
        <f t="shared" si="7"/>
        <v>8.291146100000006</v>
      </c>
      <c r="E163" s="61">
        <f t="shared" si="6"/>
        <v>9.885389999999461E-2</v>
      </c>
      <c r="F163" s="59"/>
    </row>
    <row r="164" spans="1:6" ht="14.25" customHeight="1" x14ac:dyDescent="0.4">
      <c r="A164" s="61">
        <v>824.1</v>
      </c>
      <c r="B164" s="61">
        <v>18.52</v>
      </c>
      <c r="C164" s="61">
        <v>31.82</v>
      </c>
      <c r="D164" s="61">
        <f t="shared" si="7"/>
        <v>30.567983800000007</v>
      </c>
      <c r="E164" s="61">
        <f t="shared" si="6"/>
        <v>1.2520161999999928</v>
      </c>
      <c r="F164" s="59"/>
    </row>
    <row r="165" spans="1:6" ht="14.25" customHeight="1" x14ac:dyDescent="0.4">
      <c r="A165" s="61">
        <v>1019.29</v>
      </c>
      <c r="B165" s="61">
        <v>29.43</v>
      </c>
      <c r="C165" s="61">
        <v>25.26</v>
      </c>
      <c r="D165" s="61">
        <f t="shared" si="7"/>
        <v>25.605758299999991</v>
      </c>
      <c r="E165" s="61">
        <f t="shared" si="6"/>
        <v>0.3457582999999893</v>
      </c>
      <c r="F165" s="59"/>
    </row>
    <row r="166" spans="1:6" ht="14.25" customHeight="1" x14ac:dyDescent="0.4">
      <c r="A166" s="61">
        <v>840.08</v>
      </c>
      <c r="B166" s="61">
        <v>19.21</v>
      </c>
      <c r="C166" s="61">
        <v>29.77</v>
      </c>
      <c r="D166" s="61">
        <f t="shared" si="7"/>
        <v>30.403885600000002</v>
      </c>
      <c r="E166" s="61">
        <f t="shared" si="6"/>
        <v>0.63388560000000282</v>
      </c>
      <c r="F166" s="59"/>
    </row>
    <row r="167" spans="1:6" ht="14.25" customHeight="1" x14ac:dyDescent="0.4">
      <c r="A167" s="61">
        <v>595.80999999999995</v>
      </c>
      <c r="B167" s="61">
        <v>24.13</v>
      </c>
      <c r="C167" s="61">
        <v>16.329999999999998</v>
      </c>
      <c r="D167" s="61">
        <f t="shared" si="7"/>
        <v>14.478945099999994</v>
      </c>
      <c r="E167" s="61">
        <f t="shared" si="6"/>
        <v>1.8510549000000047</v>
      </c>
      <c r="F167" s="59"/>
    </row>
    <row r="168" spans="1:6" ht="14.25" customHeight="1" x14ac:dyDescent="0.4">
      <c r="A168" s="61">
        <v>740.48</v>
      </c>
      <c r="B168" s="61">
        <v>25.11</v>
      </c>
      <c r="C168" s="61">
        <v>19.64</v>
      </c>
      <c r="D168" s="61">
        <f t="shared" si="7"/>
        <v>19.269977600000004</v>
      </c>
      <c r="E168" s="61">
        <f t="shared" si="6"/>
        <v>0.37002239999999631</v>
      </c>
      <c r="F168" s="59"/>
    </row>
    <row r="169" spans="1:6" ht="14.25" customHeight="1" x14ac:dyDescent="0.4">
      <c r="A169" s="61">
        <v>727.1</v>
      </c>
      <c r="B169" s="61">
        <v>21.08</v>
      </c>
      <c r="C169" s="61">
        <v>24.38</v>
      </c>
      <c r="D169" s="61">
        <f t="shared" si="7"/>
        <v>23.521648200000001</v>
      </c>
      <c r="E169" s="61">
        <f t="shared" si="6"/>
        <v>0.85835179999999767</v>
      </c>
      <c r="F169" s="59"/>
    </row>
    <row r="170" spans="1:6" ht="14.25" customHeight="1" x14ac:dyDescent="0.4">
      <c r="A170" s="61">
        <v>710.29</v>
      </c>
      <c r="B170" s="61">
        <v>26.86</v>
      </c>
      <c r="C170" s="61">
        <v>17.940000000000001</v>
      </c>
      <c r="D170" s="61">
        <f t="shared" si="7"/>
        <v>15.9408715</v>
      </c>
      <c r="E170" s="61">
        <f t="shared" si="6"/>
        <v>1.9991285000000012</v>
      </c>
      <c r="F170" s="59"/>
    </row>
    <row r="171" spans="1:6" ht="14.25" customHeight="1" x14ac:dyDescent="0.4">
      <c r="A171" s="61">
        <v>615.85</v>
      </c>
      <c r="B171" s="61">
        <v>27.09</v>
      </c>
      <c r="C171" s="61">
        <v>13.84</v>
      </c>
      <c r="D171" s="61">
        <f t="shared" si="7"/>
        <v>11.776783099999996</v>
      </c>
      <c r="E171" s="61">
        <f t="shared" si="6"/>
        <v>2.063216900000004</v>
      </c>
      <c r="F171" s="59"/>
    </row>
    <row r="172" spans="1:6" ht="14.25" customHeight="1" x14ac:dyDescent="0.4">
      <c r="A172" s="61">
        <v>790.43</v>
      </c>
      <c r="B172" s="61">
        <v>23.39</v>
      </c>
      <c r="C172" s="61">
        <v>23.03</v>
      </c>
      <c r="D172" s="61">
        <f t="shared" si="7"/>
        <v>23.377245300000002</v>
      </c>
      <c r="E172" s="61">
        <f t="shared" si="6"/>
        <v>0.34724530000000087</v>
      </c>
      <c r="F172" s="59"/>
    </row>
    <row r="173" spans="1:6" ht="14.25" customHeight="1" x14ac:dyDescent="0.4">
      <c r="A173" s="61">
        <v>813.68</v>
      </c>
      <c r="B173" s="61">
        <v>30.53</v>
      </c>
      <c r="C173" s="61">
        <v>15.12</v>
      </c>
      <c r="D173" s="61">
        <f t="shared" si="7"/>
        <v>15.8257464</v>
      </c>
      <c r="E173" s="61">
        <f t="shared" si="6"/>
        <v>0.70574640000000066</v>
      </c>
      <c r="F173" s="59"/>
    </row>
    <row r="174" spans="1:6" ht="14.25" customHeight="1" x14ac:dyDescent="0.4">
      <c r="A174" s="61">
        <v>1042.43</v>
      </c>
      <c r="B174" s="61">
        <v>20.72</v>
      </c>
      <c r="C174" s="61">
        <v>37.26</v>
      </c>
      <c r="D174" s="61">
        <f t="shared" si="7"/>
        <v>36.939124500000005</v>
      </c>
      <c r="E174" s="61">
        <f t="shared" si="6"/>
        <v>0.32087549999999254</v>
      </c>
      <c r="F174" s="59"/>
    </row>
    <row r="175" spans="1:6" ht="14.25" customHeight="1" x14ac:dyDescent="0.4">
      <c r="A175" s="61">
        <v>1057.47</v>
      </c>
      <c r="B175" s="61">
        <v>21.27</v>
      </c>
      <c r="C175" s="61">
        <v>36.57</v>
      </c>
      <c r="D175" s="61">
        <f t="shared" si="7"/>
        <v>36.903154100000009</v>
      </c>
      <c r="E175" s="61">
        <f t="shared" si="6"/>
        <v>0.33315410000000867</v>
      </c>
      <c r="F175" s="59"/>
    </row>
    <row r="176" spans="1:6" ht="14.25" customHeight="1" x14ac:dyDescent="0.4">
      <c r="A176" s="61">
        <v>865.67</v>
      </c>
      <c r="B176" s="61">
        <v>24.03</v>
      </c>
      <c r="C176" s="61">
        <v>22.95</v>
      </c>
      <c r="D176" s="61">
        <f t="shared" si="7"/>
        <v>25.713654499999997</v>
      </c>
      <c r="E176" s="61">
        <f t="shared" si="6"/>
        <v>2.7636544999999977</v>
      </c>
      <c r="F176" s="59"/>
    </row>
    <row r="177" spans="1:6" ht="14.25" customHeight="1" x14ac:dyDescent="0.4">
      <c r="A177" s="61">
        <v>822.44</v>
      </c>
      <c r="B177" s="61">
        <v>24.43</v>
      </c>
      <c r="C177" s="61">
        <v>25.49</v>
      </c>
      <c r="D177" s="61">
        <f t="shared" si="7"/>
        <v>23.4563068</v>
      </c>
      <c r="E177" s="61">
        <f t="shared" si="6"/>
        <v>2.0336931999999983</v>
      </c>
      <c r="F177" s="59"/>
    </row>
    <row r="178" spans="1:6" ht="14.25" customHeight="1" x14ac:dyDescent="0.4">
      <c r="A178" s="61">
        <v>1044.75</v>
      </c>
      <c r="B178" s="61">
        <v>21.51</v>
      </c>
      <c r="C178" s="61">
        <v>36.01</v>
      </c>
      <c r="D178" s="61">
        <f t="shared" si="7"/>
        <v>36.0931949</v>
      </c>
      <c r="E178" s="61">
        <f t="shared" si="6"/>
        <v>8.3194900000002292E-2</v>
      </c>
      <c r="F178" s="59"/>
    </row>
    <row r="179" spans="1:6" ht="14.25" customHeight="1" x14ac:dyDescent="0.4">
      <c r="A179" s="61">
        <v>1121.0999999999999</v>
      </c>
      <c r="B179" s="61">
        <v>33.619999999999997</v>
      </c>
      <c r="C179" s="61">
        <v>25.61</v>
      </c>
      <c r="D179" s="61">
        <f t="shared" si="7"/>
        <v>24.805837799999992</v>
      </c>
      <c r="E179" s="61">
        <f t="shared" si="6"/>
        <v>0.80416220000000749</v>
      </c>
      <c r="F179" s="59"/>
    </row>
    <row r="180" spans="1:6" ht="14.25" customHeight="1" x14ac:dyDescent="0.4">
      <c r="A180" s="61">
        <v>972.44</v>
      </c>
      <c r="B180" s="61">
        <v>32.08</v>
      </c>
      <c r="C180" s="61">
        <v>18.649999999999999</v>
      </c>
      <c r="D180" s="61">
        <f t="shared" si="7"/>
        <v>20.517842800000004</v>
      </c>
      <c r="E180" s="61">
        <f t="shared" si="6"/>
        <v>1.8678428000000054</v>
      </c>
      <c r="F180" s="59"/>
    </row>
    <row r="181" spans="1:6" ht="14.25" customHeight="1" x14ac:dyDescent="0.4">
      <c r="A181" s="61">
        <v>1060.3399999999999</v>
      </c>
      <c r="B181" s="61">
        <v>19.82</v>
      </c>
      <c r="C181" s="61">
        <v>40.57</v>
      </c>
      <c r="D181" s="61">
        <f t="shared" si="7"/>
        <v>38.749421399999989</v>
      </c>
      <c r="E181" s="61">
        <f t="shared" si="6"/>
        <v>1.8205786000000117</v>
      </c>
      <c r="F181" s="59"/>
    </row>
    <row r="182" spans="1:6" ht="14.25" customHeight="1" x14ac:dyDescent="0.4">
      <c r="A182" s="61">
        <v>1157.3800000000001</v>
      </c>
      <c r="B182" s="61">
        <v>24.28</v>
      </c>
      <c r="C182" s="61">
        <v>36.28</v>
      </c>
      <c r="D182" s="61">
        <f t="shared" si="7"/>
        <v>37.431249399999999</v>
      </c>
      <c r="E182" s="61">
        <f t="shared" si="6"/>
        <v>1.1512493999999975</v>
      </c>
      <c r="F182" s="59"/>
    </row>
    <row r="183" spans="1:6" ht="14.25" customHeight="1" x14ac:dyDescent="0.4">
      <c r="A183" s="61">
        <v>528.46</v>
      </c>
      <c r="B183" s="61">
        <v>21.96</v>
      </c>
      <c r="C183" s="61">
        <v>14.63</v>
      </c>
      <c r="D183" s="61">
        <f t="shared" si="7"/>
        <v>14.290917800000006</v>
      </c>
      <c r="E183" s="61">
        <f t="shared" si="6"/>
        <v>0.33908219999999467</v>
      </c>
      <c r="F183" s="59"/>
    </row>
    <row r="184" spans="1:6" ht="14.25" customHeight="1" x14ac:dyDescent="0.4">
      <c r="A184" s="61">
        <v>1112.97</v>
      </c>
      <c r="B184" s="61">
        <v>25.67</v>
      </c>
      <c r="C184" s="61">
        <v>31.61</v>
      </c>
      <c r="D184" s="61">
        <f t="shared" si="7"/>
        <v>33.945455100000004</v>
      </c>
      <c r="E184" s="61">
        <f t="shared" si="6"/>
        <v>2.3354551000000043</v>
      </c>
      <c r="F184" s="59"/>
    </row>
    <row r="185" spans="1:6" ht="14.25" customHeight="1" x14ac:dyDescent="0.4">
      <c r="A185" s="61">
        <v>693.59</v>
      </c>
      <c r="B185" s="61">
        <v>22.7</v>
      </c>
      <c r="C185" s="61">
        <v>20.260000000000002</v>
      </c>
      <c r="D185" s="61">
        <f t="shared" si="7"/>
        <v>20.210720100000003</v>
      </c>
      <c r="E185" s="61">
        <f t="shared" si="6"/>
        <v>4.9279899999998378E-2</v>
      </c>
      <c r="F185" s="59"/>
    </row>
    <row r="186" spans="1:6" ht="14.25" customHeight="1" x14ac:dyDescent="0.4">
      <c r="A186" s="61">
        <v>833.04</v>
      </c>
      <c r="B186" s="61">
        <v>26.53</v>
      </c>
      <c r="C186" s="61">
        <v>21.14</v>
      </c>
      <c r="D186" s="61">
        <f t="shared" si="7"/>
        <v>21.390224800000002</v>
      </c>
      <c r="E186" s="61">
        <f t="shared" si="6"/>
        <v>0.25022480000000158</v>
      </c>
      <c r="F186" s="59"/>
    </row>
    <row r="187" spans="1:6" ht="14.25" customHeight="1" x14ac:dyDescent="0.4">
      <c r="A187" s="61">
        <v>1057.73</v>
      </c>
      <c r="B187" s="61">
        <v>33.68</v>
      </c>
      <c r="C187" s="61">
        <v>21.61</v>
      </c>
      <c r="D187" s="61">
        <f t="shared" si="7"/>
        <v>22.124121899999999</v>
      </c>
      <c r="E187" s="61">
        <f t="shared" si="6"/>
        <v>0.51412189999999924</v>
      </c>
      <c r="F187" s="59"/>
    </row>
    <row r="188" spans="1:6" ht="14.25" customHeight="1" x14ac:dyDescent="0.4">
      <c r="A188" s="61">
        <v>1002.07</v>
      </c>
      <c r="B188" s="61">
        <v>24.5</v>
      </c>
      <c r="C188" s="61">
        <v>31.34</v>
      </c>
      <c r="D188" s="61">
        <f t="shared" si="7"/>
        <v>30.771843300000004</v>
      </c>
      <c r="E188" s="61">
        <f t="shared" si="6"/>
        <v>0.56815669999999585</v>
      </c>
      <c r="F188" s="59"/>
    </row>
    <row r="189" spans="1:6" ht="14.25" customHeight="1" x14ac:dyDescent="0.4">
      <c r="A189" s="61">
        <v>603</v>
      </c>
      <c r="B189" s="61">
        <v>29.05</v>
      </c>
      <c r="C189" s="61">
        <v>9.35</v>
      </c>
      <c r="D189" s="61">
        <f t="shared" si="7"/>
        <v>8.9116420000000005</v>
      </c>
      <c r="E189" s="61">
        <f t="shared" si="6"/>
        <v>0.43835799999999914</v>
      </c>
      <c r="F189" s="59"/>
    </row>
    <row r="190" spans="1:6" ht="14.25" customHeight="1" x14ac:dyDescent="0.4">
      <c r="A190" s="61">
        <v>961.12</v>
      </c>
      <c r="B190" s="61">
        <v>28.13</v>
      </c>
      <c r="C190" s="61">
        <v>26.16</v>
      </c>
      <c r="D190" s="61">
        <f t="shared" si="7"/>
        <v>24.759023999999997</v>
      </c>
      <c r="E190" s="61">
        <f t="shared" si="6"/>
        <v>1.4009760000000036</v>
      </c>
      <c r="F190" s="59"/>
    </row>
    <row r="191" spans="1:6" ht="14.25" customHeight="1" x14ac:dyDescent="0.4">
      <c r="A191" s="59"/>
      <c r="B191" s="59"/>
      <c r="C191" s="59"/>
      <c r="D191" s="59"/>
      <c r="E191" s="59"/>
      <c r="F191" s="59"/>
    </row>
    <row r="192" spans="1:6" ht="14.25" customHeight="1" x14ac:dyDescent="0.4">
      <c r="A192" s="59"/>
      <c r="B192" s="59"/>
      <c r="C192" s="59"/>
      <c r="D192" s="59"/>
      <c r="E192" s="59"/>
      <c r="F192" s="59"/>
    </row>
    <row r="193" spans="1:6" ht="14.25" customHeight="1" x14ac:dyDescent="0.4">
      <c r="A193" s="59"/>
      <c r="B193" s="59"/>
      <c r="C193" s="59"/>
      <c r="D193" s="59"/>
      <c r="E193" s="59"/>
      <c r="F193" s="59"/>
    </row>
    <row r="194" spans="1:6" ht="14.25" customHeight="1" x14ac:dyDescent="0.4">
      <c r="A194" s="59"/>
      <c r="B194" s="59"/>
      <c r="C194" s="59"/>
      <c r="D194" s="59"/>
      <c r="E194" s="59"/>
      <c r="F194" s="59"/>
    </row>
    <row r="195" spans="1:6" ht="14.25" customHeight="1" x14ac:dyDescent="0.4">
      <c r="A195" s="59"/>
      <c r="B195" s="59"/>
      <c r="C195" s="59"/>
      <c r="D195" s="59"/>
      <c r="E195" s="59"/>
      <c r="F195" s="59"/>
    </row>
    <row r="196" spans="1:6" ht="14.25" customHeight="1" x14ac:dyDescent="0.4">
      <c r="A196" s="59"/>
      <c r="B196" s="59"/>
      <c r="C196" s="59"/>
      <c r="D196" s="59"/>
      <c r="E196" s="59"/>
      <c r="F196" s="59"/>
    </row>
    <row r="197" spans="1:6" ht="14.25" customHeight="1" x14ac:dyDescent="0.4">
      <c r="A197" s="61" t="s">
        <v>59</v>
      </c>
      <c r="B197" s="61"/>
      <c r="C197" s="59"/>
      <c r="D197" s="59"/>
      <c r="E197" s="59"/>
      <c r="F197" s="59"/>
    </row>
    <row r="198" spans="1:6" ht="14.25" customHeight="1" x14ac:dyDescent="0.4">
      <c r="A198" s="58" t="s">
        <v>60</v>
      </c>
      <c r="B198" s="61"/>
      <c r="C198" s="59"/>
      <c r="D198" s="59"/>
      <c r="E198" s="59"/>
      <c r="F198" s="59"/>
    </row>
    <row r="199" spans="1:6" ht="14.25" customHeight="1" x14ac:dyDescent="0.4">
      <c r="A199" s="59"/>
      <c r="B199" s="59"/>
      <c r="C199" s="59"/>
      <c r="D199" s="59"/>
      <c r="E199" s="59"/>
      <c r="F199" s="59"/>
    </row>
    <row r="200" spans="1:6" ht="14.25" customHeight="1" x14ac:dyDescent="0.4">
      <c r="A200" s="58" t="s">
        <v>8</v>
      </c>
      <c r="B200" s="58" t="s">
        <v>9</v>
      </c>
      <c r="C200" s="62" t="s">
        <v>58</v>
      </c>
      <c r="D200" s="58" t="s">
        <v>54</v>
      </c>
      <c r="E200" s="58" t="s">
        <v>55</v>
      </c>
      <c r="F200" s="58" t="s">
        <v>15</v>
      </c>
    </row>
    <row r="201" spans="1:6" ht="14.25" customHeight="1" x14ac:dyDescent="0.4">
      <c r="A201" s="61">
        <v>795.66</v>
      </c>
      <c r="B201" s="61">
        <v>18.39</v>
      </c>
      <c r="C201" s="61">
        <v>30.2</v>
      </c>
      <c r="D201" s="61">
        <f>18.4326+0.04198*A201-1.20537*B201</f>
        <v>29.667652500000003</v>
      </c>
      <c r="E201" s="61">
        <f>ABS(C201-D201)</f>
        <v>0.53234749999999664</v>
      </c>
      <c r="F201" s="61">
        <f>AVERAGE(E201:E250)</f>
        <v>0.98692399199999958</v>
      </c>
    </row>
    <row r="202" spans="1:6" ht="14.25" customHeight="1" x14ac:dyDescent="0.4">
      <c r="A202" s="61">
        <v>798.52</v>
      </c>
      <c r="B202" s="61">
        <v>26.92</v>
      </c>
      <c r="C202" s="61">
        <v>20.85</v>
      </c>
      <c r="D202" s="61">
        <f t="shared" ref="D201:D250" si="8">18.4326+0.04198*A202-1.20537*B202</f>
        <v>19.505909199999998</v>
      </c>
      <c r="E202" s="61">
        <f t="shared" ref="E201:E250" si="9">ABS(C202-D202)</f>
        <v>1.3440908000000036</v>
      </c>
      <c r="F202" s="59"/>
    </row>
    <row r="203" spans="1:6" ht="14.25" customHeight="1" x14ac:dyDescent="0.4">
      <c r="A203" s="61">
        <v>944.07</v>
      </c>
      <c r="B203" s="61">
        <v>29.84</v>
      </c>
      <c r="C203" s="61">
        <v>21.28</v>
      </c>
      <c r="D203" s="61">
        <f t="shared" si="8"/>
        <v>22.096417800000005</v>
      </c>
      <c r="E203" s="61">
        <f t="shared" si="9"/>
        <v>0.81641780000000352</v>
      </c>
      <c r="F203" s="59"/>
    </row>
    <row r="204" spans="1:6" ht="14.25" customHeight="1" x14ac:dyDescent="0.4">
      <c r="A204" s="61">
        <v>866.03</v>
      </c>
      <c r="B204" s="61">
        <v>25.26</v>
      </c>
      <c r="C204" s="61">
        <v>24.07</v>
      </c>
      <c r="D204" s="61">
        <f t="shared" si="8"/>
        <v>24.3408932</v>
      </c>
      <c r="E204" s="61">
        <f t="shared" si="9"/>
        <v>0.27089319999999972</v>
      </c>
      <c r="F204" s="59"/>
    </row>
    <row r="205" spans="1:6" ht="14.25" customHeight="1" x14ac:dyDescent="0.4">
      <c r="A205" s="61">
        <v>790.42</v>
      </c>
      <c r="B205" s="61">
        <v>20.29</v>
      </c>
      <c r="C205" s="61">
        <v>25.57</v>
      </c>
      <c r="D205" s="61">
        <f t="shared" si="8"/>
        <v>27.157474300000004</v>
      </c>
      <c r="E205" s="61">
        <f t="shared" si="9"/>
        <v>1.5874743000000038</v>
      </c>
      <c r="F205" s="59"/>
    </row>
    <row r="206" spans="1:6" ht="14.25" customHeight="1" x14ac:dyDescent="0.4">
      <c r="A206" s="61">
        <v>501</v>
      </c>
      <c r="B206" s="61">
        <v>23.63</v>
      </c>
      <c r="C206" s="61">
        <v>11.2</v>
      </c>
      <c r="D206" s="61">
        <f t="shared" si="8"/>
        <v>10.9816869</v>
      </c>
      <c r="E206" s="61">
        <f t="shared" si="9"/>
        <v>0.21831309999999959</v>
      </c>
      <c r="F206" s="59"/>
    </row>
    <row r="207" spans="1:6" ht="14.25" customHeight="1" x14ac:dyDescent="0.4">
      <c r="A207" s="61">
        <v>564.58000000000004</v>
      </c>
      <c r="B207" s="61">
        <v>28.04</v>
      </c>
      <c r="C207" s="61">
        <v>9.83</v>
      </c>
      <c r="D207" s="61">
        <f t="shared" si="8"/>
        <v>8.3350936000000075</v>
      </c>
      <c r="E207" s="61">
        <f t="shared" si="9"/>
        <v>1.4949063999999925</v>
      </c>
      <c r="F207" s="59"/>
    </row>
    <row r="208" spans="1:6" ht="14.25" customHeight="1" x14ac:dyDescent="0.4">
      <c r="A208" s="61">
        <v>996.58</v>
      </c>
      <c r="B208" s="61">
        <v>33.99</v>
      </c>
      <c r="C208" s="61">
        <v>18.62</v>
      </c>
      <c r="D208" s="61">
        <f t="shared" si="8"/>
        <v>19.2985021</v>
      </c>
      <c r="E208" s="61">
        <f t="shared" si="9"/>
        <v>0.67850209999999933</v>
      </c>
      <c r="F208" s="59"/>
    </row>
    <row r="209" spans="1:6" ht="14.25" customHeight="1" x14ac:dyDescent="0.4">
      <c r="A209" s="61">
        <v>867.04</v>
      </c>
      <c r="B209" s="61">
        <v>34.869999999999997</v>
      </c>
      <c r="C209" s="61">
        <v>13.55</v>
      </c>
      <c r="D209" s="61">
        <f t="shared" si="8"/>
        <v>12.799687300000002</v>
      </c>
      <c r="E209" s="61">
        <f t="shared" si="9"/>
        <v>0.7503126999999985</v>
      </c>
      <c r="F209" s="59"/>
    </row>
    <row r="210" spans="1:6" ht="14.25" customHeight="1" x14ac:dyDescent="0.4">
      <c r="A210" s="61">
        <v>987.31</v>
      </c>
      <c r="B210" s="61">
        <v>22.11</v>
      </c>
      <c r="C210" s="61">
        <v>32.1</v>
      </c>
      <c r="D210" s="61">
        <f t="shared" si="8"/>
        <v>33.229143100000002</v>
      </c>
      <c r="E210" s="61">
        <f t="shared" si="9"/>
        <v>1.1291431000000003</v>
      </c>
      <c r="F210" s="59"/>
    </row>
    <row r="211" spans="1:6" ht="14.25" customHeight="1" x14ac:dyDescent="0.4">
      <c r="A211" s="61">
        <v>1168.83</v>
      </c>
      <c r="B211" s="61">
        <v>18.18</v>
      </c>
      <c r="C211" s="61">
        <v>44.05</v>
      </c>
      <c r="D211" s="61">
        <f t="shared" si="8"/>
        <v>45.586456799999993</v>
      </c>
      <c r="E211" s="61">
        <f t="shared" si="9"/>
        <v>1.5364567999999963</v>
      </c>
      <c r="F211" s="59"/>
    </row>
    <row r="212" spans="1:6" ht="14.25" customHeight="1" x14ac:dyDescent="0.4">
      <c r="A212" s="61">
        <v>978.04</v>
      </c>
      <c r="B212" s="61">
        <v>32.119999999999997</v>
      </c>
      <c r="C212" s="61">
        <v>20.64</v>
      </c>
      <c r="D212" s="61">
        <f t="shared" si="8"/>
        <v>20.774234800000002</v>
      </c>
      <c r="E212" s="61">
        <f t="shared" si="9"/>
        <v>0.13423480000000154</v>
      </c>
      <c r="F212" s="59"/>
    </row>
    <row r="213" spans="1:6" ht="14.25" customHeight="1" x14ac:dyDescent="0.4">
      <c r="A213" s="61">
        <v>537.19000000000005</v>
      </c>
      <c r="B213" s="61">
        <v>33.75</v>
      </c>
      <c r="C213" s="61">
        <v>0.69</v>
      </c>
      <c r="D213" s="61">
        <f t="shared" si="8"/>
        <v>0.30259870000000433</v>
      </c>
      <c r="E213" s="61">
        <f t="shared" si="9"/>
        <v>0.38740129999999562</v>
      </c>
      <c r="F213" s="59"/>
    </row>
    <row r="214" spans="1:6" ht="14.25" customHeight="1" x14ac:dyDescent="0.4">
      <c r="A214" s="61">
        <v>716.2</v>
      </c>
      <c r="B214" s="61">
        <v>25.8</v>
      </c>
      <c r="C214" s="61">
        <v>18.579999999999998</v>
      </c>
      <c r="D214" s="61">
        <f t="shared" si="8"/>
        <v>17.400130000000001</v>
      </c>
      <c r="E214" s="61">
        <f t="shared" si="9"/>
        <v>1.1798699999999975</v>
      </c>
      <c r="F214" s="59"/>
    </row>
    <row r="215" spans="1:6" ht="14.25" customHeight="1" x14ac:dyDescent="0.4">
      <c r="A215" s="61">
        <v>914.82</v>
      </c>
      <c r="B215" s="61">
        <v>31.11</v>
      </c>
      <c r="C215" s="61">
        <v>19.52</v>
      </c>
      <c r="D215" s="61">
        <f t="shared" si="8"/>
        <v>19.337682900000004</v>
      </c>
      <c r="E215" s="61">
        <f t="shared" si="9"/>
        <v>0.18231709999999524</v>
      </c>
      <c r="F215" s="59"/>
    </row>
    <row r="216" spans="1:6" ht="14.25" customHeight="1" x14ac:dyDescent="0.4">
      <c r="A216" s="61">
        <v>664.58</v>
      </c>
      <c r="B216" s="61">
        <v>32.729999999999997</v>
      </c>
      <c r="C216" s="61">
        <v>9.92</v>
      </c>
      <c r="D216" s="61">
        <f t="shared" si="8"/>
        <v>6.8799083000000039</v>
      </c>
      <c r="E216" s="61">
        <f t="shared" si="9"/>
        <v>3.0400916999999961</v>
      </c>
      <c r="F216" s="59"/>
    </row>
    <row r="217" spans="1:6" ht="14.25" customHeight="1" x14ac:dyDescent="0.4">
      <c r="A217" s="61">
        <v>1175.48</v>
      </c>
      <c r="B217" s="61">
        <v>28.36</v>
      </c>
      <c r="C217" s="61">
        <v>32.65</v>
      </c>
      <c r="D217" s="61">
        <f t="shared" si="8"/>
        <v>33.594957199999996</v>
      </c>
      <c r="E217" s="61">
        <f t="shared" si="9"/>
        <v>0.9449571999999975</v>
      </c>
      <c r="F217" s="59"/>
    </row>
    <row r="218" spans="1:6" ht="14.25" customHeight="1" x14ac:dyDescent="0.4">
      <c r="A218" s="61">
        <v>1161.53</v>
      </c>
      <c r="B218" s="61">
        <v>32.83</v>
      </c>
      <c r="C218" s="61">
        <v>26.72</v>
      </c>
      <c r="D218" s="61">
        <f t="shared" si="8"/>
        <v>27.621332300000006</v>
      </c>
      <c r="E218" s="61">
        <f t="shared" si="9"/>
        <v>0.90133230000000708</v>
      </c>
      <c r="F218" s="59"/>
    </row>
    <row r="219" spans="1:6" ht="14.25" customHeight="1" x14ac:dyDescent="0.4">
      <c r="A219" s="61">
        <v>1093.8800000000001</v>
      </c>
      <c r="B219" s="61">
        <v>18.41</v>
      </c>
      <c r="C219" s="61">
        <v>40.11</v>
      </c>
      <c r="D219" s="61">
        <f t="shared" si="8"/>
        <v>42.162820700000012</v>
      </c>
      <c r="E219" s="61">
        <f t="shared" si="9"/>
        <v>2.0528207000000123</v>
      </c>
      <c r="F219" s="59"/>
    </row>
    <row r="220" spans="1:6" ht="14.25" customHeight="1" x14ac:dyDescent="0.4">
      <c r="A220" s="61">
        <v>830.63</v>
      </c>
      <c r="B220" s="61">
        <v>22.62</v>
      </c>
      <c r="C220" s="61">
        <v>26.12</v>
      </c>
      <c r="D220" s="61">
        <f t="shared" si="8"/>
        <v>26.036978000000005</v>
      </c>
      <c r="E220" s="61">
        <f t="shared" si="9"/>
        <v>8.3021999999996154E-2</v>
      </c>
      <c r="F220" s="59"/>
    </row>
    <row r="221" spans="1:6" ht="14.25" customHeight="1" x14ac:dyDescent="0.4">
      <c r="A221" s="61">
        <v>1089.03</v>
      </c>
      <c r="B221" s="61">
        <v>22.71</v>
      </c>
      <c r="C221" s="61">
        <v>37.33</v>
      </c>
      <c r="D221" s="61">
        <f t="shared" si="8"/>
        <v>36.776126700000006</v>
      </c>
      <c r="E221" s="61">
        <f t="shared" si="9"/>
        <v>0.55387329999999224</v>
      </c>
      <c r="F221" s="59"/>
    </row>
    <row r="222" spans="1:6" ht="14.25" customHeight="1" x14ac:dyDescent="0.4">
      <c r="A222" s="61">
        <v>591.78</v>
      </c>
      <c r="B222" s="61">
        <v>20.05</v>
      </c>
      <c r="C222" s="61">
        <v>18.5</v>
      </c>
      <c r="D222" s="61">
        <f t="shared" si="8"/>
        <v>19.107855900000001</v>
      </c>
      <c r="E222" s="61">
        <f t="shared" si="9"/>
        <v>0.60785590000000056</v>
      </c>
      <c r="F222" s="59"/>
    </row>
    <row r="223" spans="1:6" ht="14.25" customHeight="1" x14ac:dyDescent="0.4">
      <c r="A223" s="61">
        <v>716.11</v>
      </c>
      <c r="B223" s="61">
        <v>33.479999999999997</v>
      </c>
      <c r="C223" s="61">
        <v>8.39</v>
      </c>
      <c r="D223" s="61">
        <f t="shared" si="8"/>
        <v>8.1391102000000046</v>
      </c>
      <c r="E223" s="61">
        <f t="shared" si="9"/>
        <v>0.25088979999999594</v>
      </c>
      <c r="F223" s="59"/>
    </row>
    <row r="224" spans="1:6" ht="14.25" customHeight="1" x14ac:dyDescent="0.4">
      <c r="A224" s="61">
        <v>824.1</v>
      </c>
      <c r="B224" s="61">
        <v>18.52</v>
      </c>
      <c r="C224" s="61">
        <v>31.82</v>
      </c>
      <c r="D224" s="61">
        <f t="shared" si="8"/>
        <v>30.704865600000005</v>
      </c>
      <c r="E224" s="61">
        <f t="shared" si="9"/>
        <v>1.1151343999999952</v>
      </c>
      <c r="F224" s="59"/>
    </row>
    <row r="225" spans="1:6" ht="14.25" customHeight="1" x14ac:dyDescent="0.4">
      <c r="A225" s="61">
        <v>1019.29</v>
      </c>
      <c r="B225" s="61">
        <v>29.43</v>
      </c>
      <c r="C225" s="61">
        <v>25.26</v>
      </c>
      <c r="D225" s="61">
        <f t="shared" si="8"/>
        <v>25.748355100000005</v>
      </c>
      <c r="E225" s="61">
        <f t="shared" si="9"/>
        <v>0.48835510000000326</v>
      </c>
      <c r="F225" s="59"/>
    </row>
    <row r="226" spans="1:6" ht="14.25" customHeight="1" x14ac:dyDescent="0.4">
      <c r="A226" s="61">
        <v>840.08</v>
      </c>
      <c r="B226" s="61">
        <v>19.21</v>
      </c>
      <c r="C226" s="61">
        <v>29.77</v>
      </c>
      <c r="D226" s="61">
        <f t="shared" si="8"/>
        <v>30.544000700000005</v>
      </c>
      <c r="E226" s="61">
        <f t="shared" si="9"/>
        <v>0.77400070000000554</v>
      </c>
      <c r="F226" s="59"/>
    </row>
    <row r="227" spans="1:6" ht="14.25" customHeight="1" x14ac:dyDescent="0.4">
      <c r="A227" s="61">
        <v>595.80999999999995</v>
      </c>
      <c r="B227" s="61">
        <v>24.13</v>
      </c>
      <c r="C227" s="61">
        <v>16.329999999999998</v>
      </c>
      <c r="D227" s="61">
        <f t="shared" si="8"/>
        <v>14.3591257</v>
      </c>
      <c r="E227" s="61">
        <f t="shared" si="9"/>
        <v>1.9708742999999984</v>
      </c>
      <c r="F227" s="59"/>
    </row>
    <row r="228" spans="1:6" ht="14.25" customHeight="1" x14ac:dyDescent="0.4">
      <c r="A228" s="61">
        <v>740.48</v>
      </c>
      <c r="B228" s="61">
        <v>25.11</v>
      </c>
      <c r="C228" s="61">
        <v>19.64</v>
      </c>
      <c r="D228" s="61">
        <f t="shared" si="8"/>
        <v>19.251109700000004</v>
      </c>
      <c r="E228" s="61">
        <f t="shared" si="9"/>
        <v>0.38889029999999636</v>
      </c>
      <c r="F228" s="59"/>
    </row>
    <row r="229" spans="1:6" ht="14.25" customHeight="1" x14ac:dyDescent="0.4">
      <c r="A229" s="61">
        <v>727.1</v>
      </c>
      <c r="B229" s="61">
        <v>21.08</v>
      </c>
      <c r="C229" s="61">
        <v>24.38</v>
      </c>
      <c r="D229" s="61">
        <f t="shared" si="8"/>
        <v>23.547058400000008</v>
      </c>
      <c r="E229" s="61">
        <f t="shared" si="9"/>
        <v>0.83294159999999096</v>
      </c>
      <c r="F229" s="59"/>
    </row>
    <row r="230" spans="1:6" ht="14.25" customHeight="1" x14ac:dyDescent="0.4">
      <c r="A230" s="61">
        <v>710.29</v>
      </c>
      <c r="B230" s="61">
        <v>26.86</v>
      </c>
      <c r="C230" s="61">
        <v>17.940000000000001</v>
      </c>
      <c r="D230" s="61">
        <f t="shared" si="8"/>
        <v>15.874336</v>
      </c>
      <c r="E230" s="61">
        <f t="shared" si="9"/>
        <v>2.0656640000000017</v>
      </c>
      <c r="F230" s="59"/>
    </row>
    <row r="231" spans="1:6" ht="14.25" customHeight="1" x14ac:dyDescent="0.4">
      <c r="A231" s="61">
        <v>615.85</v>
      </c>
      <c r="B231" s="61">
        <v>27.09</v>
      </c>
      <c r="C231" s="61">
        <v>13.84</v>
      </c>
      <c r="D231" s="61">
        <f t="shared" si="8"/>
        <v>11.6325097</v>
      </c>
      <c r="E231" s="61">
        <f t="shared" si="9"/>
        <v>2.2074902999999999</v>
      </c>
      <c r="F231" s="59"/>
    </row>
    <row r="232" spans="1:6" ht="14.25" customHeight="1" x14ac:dyDescent="0.4">
      <c r="A232" s="61">
        <v>790.43</v>
      </c>
      <c r="B232" s="61">
        <v>23.39</v>
      </c>
      <c r="C232" s="61">
        <v>23.03</v>
      </c>
      <c r="D232" s="61">
        <f t="shared" si="8"/>
        <v>23.421247099999999</v>
      </c>
      <c r="E232" s="61">
        <f t="shared" si="9"/>
        <v>0.39124709999999752</v>
      </c>
      <c r="F232" s="59"/>
    </row>
    <row r="233" spans="1:6" ht="14.25" customHeight="1" x14ac:dyDescent="0.4">
      <c r="A233" s="61">
        <v>813.68</v>
      </c>
      <c r="B233" s="61">
        <v>30.53</v>
      </c>
      <c r="C233" s="61">
        <v>15.12</v>
      </c>
      <c r="D233" s="61">
        <f t="shared" si="8"/>
        <v>15.790940300000003</v>
      </c>
      <c r="E233" s="61">
        <f t="shared" si="9"/>
        <v>0.67094030000000338</v>
      </c>
      <c r="F233" s="59"/>
    </row>
    <row r="234" spans="1:6" ht="14.25" customHeight="1" x14ac:dyDescent="0.4">
      <c r="A234" s="61">
        <v>1042.43</v>
      </c>
      <c r="B234" s="61">
        <v>20.72</v>
      </c>
      <c r="C234" s="61">
        <v>37.26</v>
      </c>
      <c r="D234" s="61">
        <f t="shared" si="8"/>
        <v>37.218545000000006</v>
      </c>
      <c r="E234" s="61">
        <f t="shared" si="9"/>
        <v>4.1454999999992026E-2</v>
      </c>
      <c r="F234" s="59"/>
    </row>
    <row r="235" spans="1:6" ht="14.25" customHeight="1" x14ac:dyDescent="0.4">
      <c r="A235" s="61">
        <v>1057.47</v>
      </c>
      <c r="B235" s="61">
        <v>21.27</v>
      </c>
      <c r="C235" s="61">
        <v>36.57</v>
      </c>
      <c r="D235" s="61">
        <f t="shared" si="8"/>
        <v>37.186970700000003</v>
      </c>
      <c r="E235" s="61">
        <f t="shared" si="9"/>
        <v>0.61697070000000309</v>
      </c>
      <c r="F235" s="59"/>
    </row>
    <row r="236" spans="1:6" ht="14.25" customHeight="1" x14ac:dyDescent="0.4">
      <c r="A236" s="61">
        <v>865.67</v>
      </c>
      <c r="B236" s="61">
        <v>24.03</v>
      </c>
      <c r="C236" s="61">
        <v>22.95</v>
      </c>
      <c r="D236" s="61">
        <f t="shared" si="8"/>
        <v>25.808385499999996</v>
      </c>
      <c r="E236" s="61">
        <f t="shared" si="9"/>
        <v>2.8583854999999971</v>
      </c>
      <c r="F236" s="59"/>
    </row>
    <row r="237" spans="1:6" ht="14.25" customHeight="1" x14ac:dyDescent="0.4">
      <c r="A237" s="61">
        <v>822.44</v>
      </c>
      <c r="B237" s="61">
        <v>24.43</v>
      </c>
      <c r="C237" s="61">
        <v>25.49</v>
      </c>
      <c r="D237" s="61">
        <f t="shared" si="8"/>
        <v>23.511442100000007</v>
      </c>
      <c r="E237" s="61">
        <f t="shared" si="9"/>
        <v>1.9785578999999913</v>
      </c>
      <c r="F237" s="59"/>
    </row>
    <row r="238" spans="1:6" ht="14.25" customHeight="1" x14ac:dyDescent="0.4">
      <c r="A238" s="61">
        <v>1044.75</v>
      </c>
      <c r="B238" s="61">
        <v>21.51</v>
      </c>
      <c r="C238" s="61">
        <v>36.01</v>
      </c>
      <c r="D238" s="61">
        <f t="shared" si="8"/>
        <v>36.363696300000001</v>
      </c>
      <c r="E238" s="61">
        <f t="shared" si="9"/>
        <v>0.35369630000000285</v>
      </c>
      <c r="F238" s="59"/>
    </row>
    <row r="239" spans="1:6" ht="14.25" customHeight="1" x14ac:dyDescent="0.4">
      <c r="A239" s="61">
        <v>1121.0999999999999</v>
      </c>
      <c r="B239" s="61">
        <v>33.619999999999997</v>
      </c>
      <c r="C239" s="61">
        <v>25.61</v>
      </c>
      <c r="D239" s="61">
        <f t="shared" si="8"/>
        <v>24.971838599999991</v>
      </c>
      <c r="E239" s="61">
        <f t="shared" si="9"/>
        <v>0.63816140000000843</v>
      </c>
      <c r="F239" s="59"/>
    </row>
    <row r="240" spans="1:6" ht="14.25" customHeight="1" x14ac:dyDescent="0.4">
      <c r="A240" s="61">
        <v>972.44</v>
      </c>
      <c r="B240" s="61">
        <v>32.08</v>
      </c>
      <c r="C240" s="61">
        <v>18.649999999999999</v>
      </c>
      <c r="D240" s="61">
        <f t="shared" si="8"/>
        <v>20.587361600000001</v>
      </c>
      <c r="E240" s="61">
        <f t="shared" si="9"/>
        <v>1.9373616000000027</v>
      </c>
      <c r="F240" s="59"/>
    </row>
    <row r="241" spans="1:6" ht="14.25" customHeight="1" x14ac:dyDescent="0.4">
      <c r="A241" s="61">
        <v>1060.3399999999999</v>
      </c>
      <c r="B241" s="61">
        <v>19.82</v>
      </c>
      <c r="C241" s="61">
        <v>40.57</v>
      </c>
      <c r="D241" s="61">
        <f t="shared" si="8"/>
        <v>39.055239799999995</v>
      </c>
      <c r="E241" s="61">
        <f t="shared" si="9"/>
        <v>1.5147602000000049</v>
      </c>
      <c r="F241" s="59"/>
    </row>
    <row r="242" spans="1:6" ht="14.25" customHeight="1" x14ac:dyDescent="0.4">
      <c r="A242" s="61">
        <v>1157.3800000000001</v>
      </c>
      <c r="B242" s="61">
        <v>24.28</v>
      </c>
      <c r="C242" s="61">
        <v>36.28</v>
      </c>
      <c r="D242" s="61">
        <f t="shared" si="8"/>
        <v>37.75302880000001</v>
      </c>
      <c r="E242" s="61">
        <f t="shared" si="9"/>
        <v>1.4730288000000087</v>
      </c>
      <c r="F242" s="59"/>
    </row>
    <row r="243" spans="1:6" ht="14.25" customHeight="1" x14ac:dyDescent="0.4">
      <c r="A243" s="61">
        <v>528.46</v>
      </c>
      <c r="B243" s="61">
        <v>21.96</v>
      </c>
      <c r="C243" s="61">
        <v>14.63</v>
      </c>
      <c r="D243" s="61">
        <f t="shared" si="8"/>
        <v>14.147425600000002</v>
      </c>
      <c r="E243" s="61">
        <f t="shared" si="9"/>
        <v>0.48257439999999896</v>
      </c>
      <c r="F243" s="59"/>
    </row>
    <row r="244" spans="1:6" ht="14.25" customHeight="1" x14ac:dyDescent="0.4">
      <c r="A244" s="61">
        <v>1112.97</v>
      </c>
      <c r="B244" s="61">
        <v>25.67</v>
      </c>
      <c r="C244" s="61">
        <v>31.61</v>
      </c>
      <c r="D244" s="61">
        <f t="shared" si="8"/>
        <v>34.213232700000006</v>
      </c>
      <c r="E244" s="61">
        <f t="shared" si="9"/>
        <v>2.6032327000000066</v>
      </c>
      <c r="F244" s="59"/>
    </row>
    <row r="245" spans="1:6" ht="14.25" customHeight="1" x14ac:dyDescent="0.4">
      <c r="A245" s="61">
        <v>693.59</v>
      </c>
      <c r="B245" s="61">
        <v>22.7</v>
      </c>
      <c r="C245" s="61">
        <v>20.260000000000002</v>
      </c>
      <c r="D245" s="61">
        <f t="shared" si="8"/>
        <v>20.187609200000004</v>
      </c>
      <c r="E245" s="61">
        <f t="shared" si="9"/>
        <v>7.2390799999997313E-2</v>
      </c>
      <c r="F245" s="59"/>
    </row>
    <row r="246" spans="1:6" ht="14.25" customHeight="1" x14ac:dyDescent="0.4">
      <c r="A246" s="61">
        <v>833.04</v>
      </c>
      <c r="B246" s="61">
        <v>26.53</v>
      </c>
      <c r="C246" s="61">
        <v>21.14</v>
      </c>
      <c r="D246" s="61">
        <f t="shared" si="8"/>
        <v>21.425153099999999</v>
      </c>
      <c r="E246" s="61">
        <f t="shared" si="9"/>
        <v>0.28515309999999872</v>
      </c>
      <c r="F246" s="59"/>
    </row>
    <row r="247" spans="1:6" ht="14.25" customHeight="1" x14ac:dyDescent="0.4">
      <c r="A247" s="61">
        <v>1057.73</v>
      </c>
      <c r="B247" s="61">
        <v>33.68</v>
      </c>
      <c r="C247" s="61">
        <v>21.61</v>
      </c>
      <c r="D247" s="61">
        <f t="shared" si="8"/>
        <v>22.239243800000004</v>
      </c>
      <c r="E247" s="61">
        <f t="shared" si="9"/>
        <v>0.62924380000000468</v>
      </c>
      <c r="F247" s="59"/>
    </row>
    <row r="248" spans="1:6" ht="14.25" customHeight="1" x14ac:dyDescent="0.4">
      <c r="A248" s="61">
        <v>1002.07</v>
      </c>
      <c r="B248" s="61">
        <v>24.5</v>
      </c>
      <c r="C248" s="61">
        <v>31.34</v>
      </c>
      <c r="D248" s="61">
        <f t="shared" si="8"/>
        <v>30.967933600000009</v>
      </c>
      <c r="E248" s="61">
        <f t="shared" si="9"/>
        <v>0.37206639999999069</v>
      </c>
      <c r="F248" s="59"/>
    </row>
    <row r="249" spans="1:6" ht="14.25" customHeight="1" x14ac:dyDescent="0.4">
      <c r="A249" s="61">
        <v>603</v>
      </c>
      <c r="B249" s="61">
        <v>29.05</v>
      </c>
      <c r="C249" s="61">
        <v>9.35</v>
      </c>
      <c r="D249" s="61">
        <f t="shared" si="8"/>
        <v>8.7305415000000011</v>
      </c>
      <c r="E249" s="61">
        <f t="shared" si="9"/>
        <v>0.61945849999999858</v>
      </c>
      <c r="F249" s="59"/>
    </row>
    <row r="250" spans="1:6" ht="14.25" customHeight="1" x14ac:dyDescent="0.4">
      <c r="A250" s="61">
        <v>961.12</v>
      </c>
      <c r="B250" s="61">
        <v>28.13</v>
      </c>
      <c r="C250" s="61">
        <v>26.16</v>
      </c>
      <c r="D250" s="61">
        <f t="shared" si="8"/>
        <v>24.873359500000007</v>
      </c>
      <c r="E250" s="61">
        <f t="shared" si="9"/>
        <v>1.2866404999999936</v>
      </c>
      <c r="F250" s="59"/>
    </row>
    <row r="251" spans="1:6" ht="14.25" customHeight="1" x14ac:dyDescent="0.4">
      <c r="A251" s="59"/>
      <c r="B251" s="59"/>
      <c r="C251" s="59"/>
      <c r="D251" s="59"/>
      <c r="E251" s="59"/>
      <c r="F251" s="59"/>
    </row>
    <row r="252" spans="1:6" ht="14.25" customHeight="1" x14ac:dyDescent="0.4">
      <c r="A252" s="59"/>
      <c r="B252" s="59"/>
      <c r="C252" s="59"/>
      <c r="D252" s="59"/>
      <c r="E252" s="59"/>
      <c r="F252" s="59"/>
    </row>
    <row r="253" spans="1:6" ht="14.25" customHeight="1" x14ac:dyDescent="0.4">
      <c r="A253" s="59"/>
      <c r="B253" s="59"/>
      <c r="C253" s="59"/>
      <c r="D253" s="59"/>
      <c r="E253" s="59"/>
      <c r="F253" s="59"/>
    </row>
    <row r="254" spans="1:6" ht="14.25" customHeight="1" x14ac:dyDescent="0.4">
      <c r="A254" s="59"/>
      <c r="B254" s="59"/>
      <c r="C254" s="59"/>
      <c r="D254" s="59"/>
      <c r="E254" s="59"/>
      <c r="F254" s="59"/>
    </row>
    <row r="255" spans="1:6" ht="14.25" customHeight="1" x14ac:dyDescent="0.4">
      <c r="A255" s="59"/>
      <c r="B255" s="59"/>
      <c r="C255" s="59"/>
      <c r="D255" s="59"/>
      <c r="E255" s="59"/>
      <c r="F255" s="59"/>
    </row>
    <row r="256" spans="1:6" ht="14.25" customHeight="1" x14ac:dyDescent="0.4">
      <c r="A256" s="59" t="s">
        <v>136</v>
      </c>
      <c r="B256" s="59"/>
      <c r="C256" s="59"/>
      <c r="D256" s="59"/>
      <c r="E256" s="59"/>
      <c r="F256" s="59"/>
    </row>
    <row r="257" spans="1:7" ht="14.25" customHeight="1" x14ac:dyDescent="0.4">
      <c r="A257" s="59"/>
      <c r="B257" s="59"/>
      <c r="C257" s="59"/>
      <c r="D257" s="59"/>
      <c r="E257" s="59"/>
      <c r="F257" s="59"/>
    </row>
    <row r="258" spans="1:7" ht="14.25" customHeight="1" x14ac:dyDescent="0.4">
      <c r="A258" s="60" t="s">
        <v>7</v>
      </c>
      <c r="B258" s="58" t="s">
        <v>8</v>
      </c>
      <c r="C258" s="58" t="s">
        <v>9</v>
      </c>
      <c r="D258" s="58" t="s">
        <v>10</v>
      </c>
      <c r="E258" s="65" t="s">
        <v>54</v>
      </c>
      <c r="F258" s="65" t="s">
        <v>55</v>
      </c>
      <c r="G258" s="66" t="s">
        <v>15</v>
      </c>
    </row>
    <row r="259" spans="1:7" ht="14.25" customHeight="1" x14ac:dyDescent="0.4">
      <c r="A259" s="62">
        <v>1</v>
      </c>
      <c r="B259" s="63">
        <v>553.41999999999996</v>
      </c>
      <c r="C259" s="63">
        <v>19.18</v>
      </c>
      <c r="D259" s="64">
        <v>16.79</v>
      </c>
      <c r="E259">
        <f>19.1765 + 0.04017*B259- 1.17406*C259</f>
        <v>18.888910599999996</v>
      </c>
      <c r="F259">
        <f>ABS(D259-E259)</f>
        <v>2.0989105999999964</v>
      </c>
      <c r="G259">
        <f>AVERAGE(F259:F338)</f>
        <v>1.1505123450000003</v>
      </c>
    </row>
    <row r="260" spans="1:7" ht="14.25" customHeight="1" x14ac:dyDescent="0.4">
      <c r="A260" s="62">
        <v>2</v>
      </c>
      <c r="B260" s="63">
        <v>1045.94</v>
      </c>
      <c r="C260" s="63">
        <v>24.07</v>
      </c>
      <c r="D260" s="63">
        <v>34.090000000000003</v>
      </c>
      <c r="E260">
        <f t="shared" ref="E260:E323" si="10">19.1765 + 0.04017*B260- 1.17406*C260</f>
        <v>32.9322856</v>
      </c>
      <c r="F260">
        <f t="shared" ref="F260:F323" si="11">ABS(D260-E260)</f>
        <v>1.1577144000000033</v>
      </c>
    </row>
    <row r="261" spans="1:7" ht="14.25" customHeight="1" x14ac:dyDescent="0.4">
      <c r="A261" s="62">
        <v>3</v>
      </c>
      <c r="B261" s="63">
        <v>806.89</v>
      </c>
      <c r="C261" s="63">
        <v>31.82</v>
      </c>
      <c r="D261" s="63">
        <v>15.9</v>
      </c>
      <c r="E261">
        <f t="shared" si="10"/>
        <v>14.230682099999989</v>
      </c>
      <c r="F261">
        <f t="shared" si="11"/>
        <v>1.6693179000000118</v>
      </c>
    </row>
    <row r="262" spans="1:7" ht="14.25" customHeight="1" x14ac:dyDescent="0.4">
      <c r="A262" s="62">
        <v>4</v>
      </c>
      <c r="B262" s="63">
        <v>1006.43</v>
      </c>
      <c r="C262" s="63">
        <v>25.27</v>
      </c>
      <c r="D262" s="63">
        <v>31.4</v>
      </c>
      <c r="E262">
        <f t="shared" si="10"/>
        <v>29.936296899999991</v>
      </c>
      <c r="F262">
        <f t="shared" si="11"/>
        <v>1.4637031000000071</v>
      </c>
    </row>
    <row r="263" spans="1:7" ht="14.25" customHeight="1" x14ac:dyDescent="0.4">
      <c r="A263" s="62">
        <v>5</v>
      </c>
      <c r="B263" s="63">
        <v>1184.5899999999999</v>
      </c>
      <c r="C263" s="63">
        <v>28.2</v>
      </c>
      <c r="D263" s="63">
        <v>32.15</v>
      </c>
      <c r="E263">
        <f t="shared" si="10"/>
        <v>33.652988299999983</v>
      </c>
      <c r="F263">
        <f t="shared" si="11"/>
        <v>1.5029882999999842</v>
      </c>
    </row>
    <row r="264" spans="1:7" ht="14.25" customHeight="1" x14ac:dyDescent="0.4">
      <c r="A264" s="62">
        <v>6</v>
      </c>
      <c r="B264" s="63">
        <v>876.95</v>
      </c>
      <c r="C264" s="63">
        <v>30.38</v>
      </c>
      <c r="D264" s="63">
        <v>19.239999999999998</v>
      </c>
      <c r="E264">
        <f t="shared" si="10"/>
        <v>18.735638700000003</v>
      </c>
      <c r="F264">
        <f t="shared" si="11"/>
        <v>0.50436129999999579</v>
      </c>
    </row>
    <row r="265" spans="1:7" ht="14.25" customHeight="1" x14ac:dyDescent="0.4">
      <c r="A265" s="62">
        <v>7</v>
      </c>
      <c r="B265" s="63">
        <v>850.78</v>
      </c>
      <c r="C265" s="63">
        <v>31.96</v>
      </c>
      <c r="D265" s="63">
        <v>18.47</v>
      </c>
      <c r="E265">
        <f t="shared" si="10"/>
        <v>15.829374999999992</v>
      </c>
      <c r="F265">
        <f t="shared" si="11"/>
        <v>2.6406250000000071</v>
      </c>
    </row>
    <row r="266" spans="1:7" ht="14.25" customHeight="1" x14ac:dyDescent="0.4">
      <c r="A266" s="62">
        <v>8</v>
      </c>
      <c r="B266" s="63">
        <v>550.44000000000005</v>
      </c>
      <c r="C266" s="63">
        <v>30.93</v>
      </c>
      <c r="D266" s="63">
        <v>2.66</v>
      </c>
      <c r="E266">
        <f t="shared" si="10"/>
        <v>4.9739989999999992</v>
      </c>
      <c r="F266">
        <f t="shared" si="11"/>
        <v>2.313998999999999</v>
      </c>
    </row>
    <row r="267" spans="1:7" ht="14.25" customHeight="1" x14ac:dyDescent="0.4">
      <c r="A267" s="62">
        <v>9</v>
      </c>
      <c r="B267" s="63">
        <v>687.91</v>
      </c>
      <c r="C267" s="63">
        <v>18.12</v>
      </c>
      <c r="D267" s="63">
        <v>26.49</v>
      </c>
      <c r="E267">
        <f t="shared" si="10"/>
        <v>25.535877499999998</v>
      </c>
      <c r="F267">
        <f t="shared" si="11"/>
        <v>0.95412250000000043</v>
      </c>
    </row>
    <row r="268" spans="1:7" ht="14.25" customHeight="1" x14ac:dyDescent="0.4">
      <c r="A268" s="62">
        <v>10</v>
      </c>
      <c r="B268" s="63">
        <v>849.92</v>
      </c>
      <c r="C268" s="63">
        <v>25.14</v>
      </c>
      <c r="D268" s="63">
        <v>25.49</v>
      </c>
      <c r="E268">
        <f t="shared" si="10"/>
        <v>23.801918000000001</v>
      </c>
      <c r="F268">
        <f t="shared" si="11"/>
        <v>1.6880819999999979</v>
      </c>
    </row>
    <row r="269" spans="1:7" ht="14.25" customHeight="1" x14ac:dyDescent="0.4">
      <c r="A269" s="62">
        <v>11</v>
      </c>
      <c r="B269" s="63">
        <v>975.46</v>
      </c>
      <c r="C269" s="63">
        <v>25.87</v>
      </c>
      <c r="D269" s="63">
        <v>26.93</v>
      </c>
      <c r="E269">
        <f t="shared" si="10"/>
        <v>27.987795999999992</v>
      </c>
      <c r="F269">
        <f t="shared" si="11"/>
        <v>1.0577959999999926</v>
      </c>
    </row>
    <row r="270" spans="1:7" ht="14.25" customHeight="1" x14ac:dyDescent="0.4">
      <c r="A270" s="62">
        <v>12</v>
      </c>
      <c r="B270" s="63">
        <v>1062.6199999999999</v>
      </c>
      <c r="C270" s="63">
        <v>18.940000000000001</v>
      </c>
      <c r="D270" s="63">
        <v>40.65</v>
      </c>
      <c r="E270">
        <f t="shared" si="10"/>
        <v>39.625248999999997</v>
      </c>
      <c r="F270">
        <f t="shared" si="11"/>
        <v>1.024751000000002</v>
      </c>
    </row>
    <row r="271" spans="1:7" ht="14.25" customHeight="1" x14ac:dyDescent="0.4">
      <c r="A271" s="62">
        <v>13</v>
      </c>
      <c r="B271" s="63">
        <v>766.66</v>
      </c>
      <c r="C271" s="63">
        <v>27.2</v>
      </c>
      <c r="D271" s="63">
        <v>16.41</v>
      </c>
      <c r="E271">
        <f t="shared" si="10"/>
        <v>18.038800199999997</v>
      </c>
      <c r="F271">
        <f t="shared" si="11"/>
        <v>1.628800199999997</v>
      </c>
    </row>
    <row r="272" spans="1:7" ht="14.25" customHeight="1" x14ac:dyDescent="0.4">
      <c r="A272" s="62">
        <v>14</v>
      </c>
      <c r="B272" s="63">
        <v>546.16</v>
      </c>
      <c r="C272" s="63">
        <v>28.33</v>
      </c>
      <c r="D272" s="63">
        <v>6.63</v>
      </c>
      <c r="E272">
        <f t="shared" si="10"/>
        <v>7.8546273999999983</v>
      </c>
      <c r="F272">
        <f t="shared" si="11"/>
        <v>1.2246273999999984</v>
      </c>
    </row>
    <row r="273" spans="1:6" ht="14.25" customHeight="1" x14ac:dyDescent="0.4">
      <c r="A273" s="62">
        <v>15</v>
      </c>
      <c r="B273" s="63">
        <v>701.7</v>
      </c>
      <c r="C273" s="63">
        <v>32.08</v>
      </c>
      <c r="D273" s="63">
        <v>8.34</v>
      </c>
      <c r="E273">
        <f t="shared" si="10"/>
        <v>9.6999441999999974</v>
      </c>
      <c r="F273">
        <f t="shared" si="11"/>
        <v>1.3599441999999975</v>
      </c>
    </row>
    <row r="274" spans="1:6" ht="14.25" customHeight="1" x14ac:dyDescent="0.4">
      <c r="A274" s="62">
        <v>16</v>
      </c>
      <c r="B274" s="63">
        <v>1136.72</v>
      </c>
      <c r="C274" s="63">
        <v>34.01</v>
      </c>
      <c r="D274" s="63">
        <v>24.94</v>
      </c>
      <c r="E274">
        <f t="shared" si="10"/>
        <v>24.908761799999994</v>
      </c>
      <c r="F274">
        <f t="shared" si="11"/>
        <v>3.1238200000007765E-2</v>
      </c>
    </row>
    <row r="275" spans="1:6" ht="14.25" customHeight="1" x14ac:dyDescent="0.4">
      <c r="A275" s="62">
        <v>17</v>
      </c>
      <c r="B275" s="63">
        <v>649.37</v>
      </c>
      <c r="C275" s="63">
        <v>20.18</v>
      </c>
      <c r="D275" s="63">
        <v>21.62</v>
      </c>
      <c r="E275">
        <f t="shared" si="10"/>
        <v>21.5691621</v>
      </c>
      <c r="F275">
        <f t="shared" si="11"/>
        <v>5.0837900000001213E-2</v>
      </c>
    </row>
    <row r="276" spans="1:6" ht="14.25" customHeight="1" x14ac:dyDescent="0.4">
      <c r="A276" s="62">
        <v>18</v>
      </c>
      <c r="B276" s="63">
        <v>816.49</v>
      </c>
      <c r="C276" s="63">
        <v>21.92</v>
      </c>
      <c r="D276" s="63">
        <v>27.79</v>
      </c>
      <c r="E276">
        <f t="shared" si="10"/>
        <v>26.239508099999991</v>
      </c>
      <c r="F276">
        <f t="shared" si="11"/>
        <v>1.5504919000000079</v>
      </c>
    </row>
    <row r="277" spans="1:6" ht="14.25" customHeight="1" x14ac:dyDescent="0.4">
      <c r="A277" s="62">
        <v>19</v>
      </c>
      <c r="B277" s="63">
        <v>1151.8399999999999</v>
      </c>
      <c r="C277" s="63">
        <v>29.21</v>
      </c>
      <c r="D277" s="63">
        <v>29.62</v>
      </c>
      <c r="E277">
        <f t="shared" si="10"/>
        <v>31.151620199999982</v>
      </c>
      <c r="F277">
        <f t="shared" si="11"/>
        <v>1.5316201999999812</v>
      </c>
    </row>
    <row r="278" spans="1:6" ht="14.25" customHeight="1" x14ac:dyDescent="0.4">
      <c r="A278" s="62">
        <v>20</v>
      </c>
      <c r="B278" s="63">
        <v>517.42999999999995</v>
      </c>
      <c r="C278" s="63">
        <v>20.25</v>
      </c>
      <c r="D278" s="63">
        <v>16.2</v>
      </c>
      <c r="E278">
        <f t="shared" si="10"/>
        <v>16.186948099999995</v>
      </c>
      <c r="F278">
        <f t="shared" si="11"/>
        <v>1.3051900000004224E-2</v>
      </c>
    </row>
    <row r="279" spans="1:6" ht="14.25" customHeight="1" x14ac:dyDescent="0.4">
      <c r="A279" s="62">
        <v>21</v>
      </c>
      <c r="B279" s="63">
        <v>920.38</v>
      </c>
      <c r="C279" s="63">
        <v>21.81</v>
      </c>
      <c r="D279" s="63">
        <v>32.090000000000003</v>
      </c>
      <c r="E279">
        <f t="shared" si="10"/>
        <v>30.541916000000001</v>
      </c>
      <c r="F279">
        <f t="shared" si="11"/>
        <v>1.5480840000000029</v>
      </c>
    </row>
    <row r="280" spans="1:6" ht="14.25" customHeight="1" x14ac:dyDescent="0.4">
      <c r="A280" s="62">
        <v>22</v>
      </c>
      <c r="B280" s="63">
        <v>1165.0899999999999</v>
      </c>
      <c r="C280" s="63">
        <v>27.77</v>
      </c>
      <c r="D280" s="63">
        <v>34.119999999999997</v>
      </c>
      <c r="E280">
        <f t="shared" si="10"/>
        <v>33.374519100000001</v>
      </c>
      <c r="F280">
        <f t="shared" si="11"/>
        <v>0.74548089999999689</v>
      </c>
    </row>
    <row r="281" spans="1:6" ht="14.25" customHeight="1" x14ac:dyDescent="0.4">
      <c r="A281" s="62">
        <v>23</v>
      </c>
      <c r="B281" s="63">
        <v>661.21</v>
      </c>
      <c r="C281" s="63">
        <v>20.88</v>
      </c>
      <c r="D281" s="63">
        <v>19.399999999999999</v>
      </c>
      <c r="E281">
        <f t="shared" si="10"/>
        <v>21.2229329</v>
      </c>
      <c r="F281">
        <f t="shared" si="11"/>
        <v>1.8229329000000014</v>
      </c>
    </row>
    <row r="282" spans="1:6" ht="14.25" customHeight="1" x14ac:dyDescent="0.4">
      <c r="A282" s="62">
        <v>24</v>
      </c>
      <c r="B282" s="63">
        <v>883.94</v>
      </c>
      <c r="C282" s="63">
        <v>31.3</v>
      </c>
      <c r="D282" s="63">
        <v>18.8</v>
      </c>
      <c r="E282">
        <f t="shared" si="10"/>
        <v>17.936291799999992</v>
      </c>
      <c r="F282">
        <f t="shared" si="11"/>
        <v>0.86370820000000847</v>
      </c>
    </row>
    <row r="283" spans="1:6" ht="14.25" customHeight="1" x14ac:dyDescent="0.4">
      <c r="A283" s="62">
        <v>25</v>
      </c>
      <c r="B283" s="63">
        <v>1136.3900000000001</v>
      </c>
      <c r="C283" s="63">
        <v>32.57</v>
      </c>
      <c r="D283" s="63">
        <v>25.66</v>
      </c>
      <c r="E283">
        <f t="shared" si="10"/>
        <v>26.5861521</v>
      </c>
      <c r="F283">
        <f t="shared" si="11"/>
        <v>0.92615209999999948</v>
      </c>
    </row>
    <row r="284" spans="1:6" ht="14.25" customHeight="1" x14ac:dyDescent="0.4">
      <c r="A284" s="62">
        <v>26</v>
      </c>
      <c r="B284" s="63">
        <v>593.22</v>
      </c>
      <c r="C284" s="63">
        <v>18.57</v>
      </c>
      <c r="D284" s="63">
        <v>22.02</v>
      </c>
      <c r="E284">
        <f t="shared" si="10"/>
        <v>21.203853200000001</v>
      </c>
      <c r="F284">
        <f t="shared" si="11"/>
        <v>0.81614679999999851</v>
      </c>
    </row>
    <row r="285" spans="1:6" ht="14.25" customHeight="1" x14ac:dyDescent="0.4">
      <c r="A285" s="62">
        <v>27</v>
      </c>
      <c r="B285" s="63">
        <v>866.39</v>
      </c>
      <c r="C285" s="63">
        <v>27.05</v>
      </c>
      <c r="D285" s="63">
        <v>22.64</v>
      </c>
      <c r="E285">
        <f t="shared" si="10"/>
        <v>22.221063299999997</v>
      </c>
      <c r="F285">
        <f t="shared" si="11"/>
        <v>0.41893670000000327</v>
      </c>
    </row>
    <row r="286" spans="1:6" ht="14.25" customHeight="1" x14ac:dyDescent="0.4">
      <c r="A286" s="62">
        <v>28</v>
      </c>
      <c r="B286" s="63">
        <v>1025.29</v>
      </c>
      <c r="C286" s="63">
        <v>31.55</v>
      </c>
      <c r="D286" s="63">
        <v>24.98</v>
      </c>
      <c r="E286">
        <f t="shared" si="10"/>
        <v>23.320806299999987</v>
      </c>
      <c r="F286">
        <f t="shared" si="11"/>
        <v>1.6591937000000136</v>
      </c>
    </row>
    <row r="287" spans="1:6" ht="14.25" customHeight="1" x14ac:dyDescent="0.4">
      <c r="A287" s="62">
        <v>29</v>
      </c>
      <c r="B287" s="63">
        <v>968.31</v>
      </c>
      <c r="C287" s="63">
        <v>34.58</v>
      </c>
      <c r="D287" s="63">
        <v>17.41</v>
      </c>
      <c r="E287">
        <f t="shared" si="10"/>
        <v>17.474517899999995</v>
      </c>
      <c r="F287">
        <f t="shared" si="11"/>
        <v>6.451789999999491E-2</v>
      </c>
    </row>
    <row r="288" spans="1:6" ht="14.25" customHeight="1" x14ac:dyDescent="0.4">
      <c r="A288" s="62">
        <v>30</v>
      </c>
      <c r="B288" s="63">
        <v>827.43</v>
      </c>
      <c r="C288" s="63">
        <v>22.66</v>
      </c>
      <c r="D288" s="63">
        <v>23.12</v>
      </c>
      <c r="E288">
        <f t="shared" si="10"/>
        <v>25.810163500000002</v>
      </c>
      <c r="F288">
        <f t="shared" si="11"/>
        <v>2.6901635000000006</v>
      </c>
    </row>
    <row r="289" spans="1:6" ht="14.25" customHeight="1" x14ac:dyDescent="0.4">
      <c r="A289" s="62">
        <v>31</v>
      </c>
      <c r="B289" s="63">
        <v>643.39</v>
      </c>
      <c r="C289" s="63">
        <v>20.87</v>
      </c>
      <c r="D289" s="63">
        <v>18.63</v>
      </c>
      <c r="E289">
        <f t="shared" si="10"/>
        <v>20.518844099999999</v>
      </c>
      <c r="F289">
        <f t="shared" si="11"/>
        <v>1.8888441</v>
      </c>
    </row>
    <row r="290" spans="1:6" ht="14.25" customHeight="1" x14ac:dyDescent="0.4">
      <c r="A290" s="62">
        <v>32</v>
      </c>
      <c r="B290" s="63">
        <v>843.54</v>
      </c>
      <c r="C290" s="63">
        <v>32.9</v>
      </c>
      <c r="D290" s="63">
        <v>15.35</v>
      </c>
      <c r="E290">
        <f t="shared" si="10"/>
        <v>14.434927799999997</v>
      </c>
      <c r="F290">
        <f t="shared" si="11"/>
        <v>0.91507220000000267</v>
      </c>
    </row>
    <row r="291" spans="1:6" ht="14.25" customHeight="1" x14ac:dyDescent="0.4">
      <c r="A291" s="62">
        <v>33</v>
      </c>
      <c r="B291" s="63">
        <v>760.67</v>
      </c>
      <c r="C291" s="63">
        <v>33.46</v>
      </c>
      <c r="D291" s="63">
        <v>9.89</v>
      </c>
      <c r="E291">
        <f t="shared" si="10"/>
        <v>10.448566299999996</v>
      </c>
      <c r="F291">
        <f t="shared" si="11"/>
        <v>0.55856629999999541</v>
      </c>
    </row>
    <row r="292" spans="1:6" ht="14.25" customHeight="1" x14ac:dyDescent="0.4">
      <c r="A292" s="62">
        <v>34</v>
      </c>
      <c r="B292" s="63">
        <v>834.18</v>
      </c>
      <c r="C292" s="63">
        <v>21.36</v>
      </c>
      <c r="D292" s="63">
        <v>29.44</v>
      </c>
      <c r="E292">
        <f t="shared" si="10"/>
        <v>27.607589000000001</v>
      </c>
      <c r="F292">
        <f t="shared" si="11"/>
        <v>1.8324110000000005</v>
      </c>
    </row>
    <row r="293" spans="1:6" ht="14.25" customHeight="1" x14ac:dyDescent="0.4">
      <c r="A293" s="62">
        <v>35</v>
      </c>
      <c r="B293" s="63">
        <v>756.12</v>
      </c>
      <c r="C293" s="63">
        <v>25.51</v>
      </c>
      <c r="D293" s="63">
        <v>20.05</v>
      </c>
      <c r="E293">
        <f t="shared" si="10"/>
        <v>19.59956979999999</v>
      </c>
      <c r="F293">
        <f t="shared" si="11"/>
        <v>0.45043020000001022</v>
      </c>
    </row>
    <row r="294" spans="1:6" ht="14.25" customHeight="1" x14ac:dyDescent="0.4">
      <c r="A294" s="62">
        <v>36</v>
      </c>
      <c r="B294" s="63">
        <v>1086.54</v>
      </c>
      <c r="C294" s="63">
        <v>30.23</v>
      </c>
      <c r="D294" s="63">
        <v>26.07</v>
      </c>
      <c r="E294">
        <f t="shared" si="10"/>
        <v>27.330977999999995</v>
      </c>
      <c r="F294">
        <f t="shared" si="11"/>
        <v>1.2609779999999944</v>
      </c>
    </row>
    <row r="295" spans="1:6" ht="14.25" customHeight="1" x14ac:dyDescent="0.4">
      <c r="A295" s="62">
        <v>37</v>
      </c>
      <c r="B295" s="63">
        <v>1038.05</v>
      </c>
      <c r="C295" s="63">
        <v>32.369999999999997</v>
      </c>
      <c r="D295" s="63">
        <v>24.3</v>
      </c>
      <c r="E295">
        <f t="shared" si="10"/>
        <v>22.870646299999997</v>
      </c>
      <c r="F295">
        <f t="shared" si="11"/>
        <v>1.4293537000000036</v>
      </c>
    </row>
    <row r="296" spans="1:6" ht="14.25" customHeight="1" x14ac:dyDescent="0.4">
      <c r="A296" s="62">
        <v>38</v>
      </c>
      <c r="B296" s="63">
        <v>719.8</v>
      </c>
      <c r="C296" s="63">
        <v>20.86</v>
      </c>
      <c r="D296" s="63">
        <v>22.55</v>
      </c>
      <c r="E296">
        <f t="shared" si="10"/>
        <v>23.599974399999997</v>
      </c>
      <c r="F296">
        <f t="shared" si="11"/>
        <v>1.0499743999999964</v>
      </c>
    </row>
    <row r="297" spans="1:6" ht="14.25" customHeight="1" x14ac:dyDescent="0.4">
      <c r="A297" s="62">
        <v>39</v>
      </c>
      <c r="B297" s="63">
        <v>900.84</v>
      </c>
      <c r="C297" s="63">
        <v>29.3</v>
      </c>
      <c r="D297" s="63">
        <v>17.79</v>
      </c>
      <c r="E297">
        <f t="shared" si="10"/>
        <v>20.96328479999999</v>
      </c>
      <c r="F297">
        <f t="shared" si="11"/>
        <v>3.1732847999999905</v>
      </c>
    </row>
    <row r="298" spans="1:6" ht="14.25" customHeight="1" x14ac:dyDescent="0.4">
      <c r="A298" s="62">
        <v>40</v>
      </c>
      <c r="B298" s="63">
        <v>693.23</v>
      </c>
      <c r="C298" s="63">
        <v>31.73</v>
      </c>
      <c r="D298" s="63">
        <v>12.75</v>
      </c>
      <c r="E298">
        <f t="shared" si="10"/>
        <v>9.7706252999999919</v>
      </c>
      <c r="F298">
        <f t="shared" si="11"/>
        <v>2.9793747000000081</v>
      </c>
    </row>
    <row r="299" spans="1:6" ht="14.25" customHeight="1" x14ac:dyDescent="0.4">
      <c r="A299" s="62">
        <v>41</v>
      </c>
      <c r="B299" s="63">
        <v>816.99</v>
      </c>
      <c r="C299" s="63">
        <v>27.35</v>
      </c>
      <c r="D299" s="63">
        <v>17</v>
      </c>
      <c r="E299">
        <f t="shared" si="10"/>
        <v>19.884447299999998</v>
      </c>
      <c r="F299">
        <f t="shared" si="11"/>
        <v>2.8844472999999979</v>
      </c>
    </row>
    <row r="300" spans="1:6" ht="14.25" customHeight="1" x14ac:dyDescent="0.4">
      <c r="A300" s="62">
        <v>42</v>
      </c>
      <c r="B300" s="63">
        <v>747.08</v>
      </c>
      <c r="C300" s="63">
        <v>20.8</v>
      </c>
      <c r="D300" s="63">
        <v>25.88</v>
      </c>
      <c r="E300">
        <f t="shared" si="10"/>
        <v>24.766255599999997</v>
      </c>
      <c r="F300">
        <f t="shared" si="11"/>
        <v>1.1137444000000016</v>
      </c>
    </row>
    <row r="301" spans="1:6" ht="14.25" customHeight="1" x14ac:dyDescent="0.4">
      <c r="A301" s="62">
        <v>43</v>
      </c>
      <c r="B301" s="63">
        <v>960.18</v>
      </c>
      <c r="C301" s="63">
        <v>18.600000000000001</v>
      </c>
      <c r="D301" s="63">
        <v>37.49</v>
      </c>
      <c r="E301">
        <f t="shared" si="10"/>
        <v>35.909414599999991</v>
      </c>
      <c r="F301">
        <f t="shared" si="11"/>
        <v>1.580585400000011</v>
      </c>
    </row>
    <row r="302" spans="1:6" ht="14.25" customHeight="1" x14ac:dyDescent="0.4">
      <c r="A302" s="62">
        <v>44</v>
      </c>
      <c r="B302" s="63">
        <v>759.25</v>
      </c>
      <c r="C302" s="63">
        <v>22.79</v>
      </c>
      <c r="D302" s="63">
        <v>23.25</v>
      </c>
      <c r="E302">
        <f t="shared" si="10"/>
        <v>22.918745099999999</v>
      </c>
      <c r="F302">
        <f t="shared" si="11"/>
        <v>0.33125490000000113</v>
      </c>
    </row>
    <row r="303" spans="1:6" ht="14.25" customHeight="1" x14ac:dyDescent="0.4">
      <c r="A303" s="62">
        <v>45</v>
      </c>
      <c r="B303" s="63">
        <v>821.37</v>
      </c>
      <c r="C303" s="63">
        <v>31.73</v>
      </c>
      <c r="D303" s="63">
        <v>12.25</v>
      </c>
      <c r="E303">
        <f t="shared" si="10"/>
        <v>14.918009099999992</v>
      </c>
      <c r="F303">
        <f t="shared" si="11"/>
        <v>2.6680090999999919</v>
      </c>
    </row>
    <row r="304" spans="1:6" ht="14.25" customHeight="1" x14ac:dyDescent="0.4">
      <c r="A304" s="62">
        <v>46</v>
      </c>
      <c r="B304" s="63">
        <v>1003.53</v>
      </c>
      <c r="C304" s="63">
        <v>18.760000000000002</v>
      </c>
      <c r="D304" s="63">
        <v>39.15</v>
      </c>
      <c r="E304">
        <f t="shared" si="10"/>
        <v>37.462934500000003</v>
      </c>
      <c r="F304">
        <f t="shared" si="11"/>
        <v>1.6870654999999957</v>
      </c>
    </row>
    <row r="305" spans="1:6" ht="14.25" customHeight="1" x14ac:dyDescent="0.4">
      <c r="A305" s="62">
        <v>47</v>
      </c>
      <c r="B305" s="63">
        <v>789.09</v>
      </c>
      <c r="C305" s="63">
        <v>18.14</v>
      </c>
      <c r="D305" s="63">
        <v>27.63</v>
      </c>
      <c r="E305">
        <f t="shared" si="10"/>
        <v>29.576796899999994</v>
      </c>
      <c r="F305">
        <f t="shared" si="11"/>
        <v>1.9467968999999954</v>
      </c>
    </row>
    <row r="306" spans="1:6" ht="14.25" customHeight="1" x14ac:dyDescent="0.4">
      <c r="A306" s="62">
        <v>48</v>
      </c>
      <c r="B306" s="63">
        <v>1134.5</v>
      </c>
      <c r="C306" s="63">
        <v>24.15</v>
      </c>
      <c r="D306" s="63">
        <v>34.39</v>
      </c>
      <c r="E306">
        <f t="shared" si="10"/>
        <v>36.395815999999996</v>
      </c>
      <c r="F306">
        <f t="shared" si="11"/>
        <v>2.0058159999999958</v>
      </c>
    </row>
    <row r="307" spans="1:6" ht="14.25" customHeight="1" x14ac:dyDescent="0.4">
      <c r="A307" s="62">
        <v>49</v>
      </c>
      <c r="B307" s="63">
        <v>626.32000000000005</v>
      </c>
      <c r="C307" s="63">
        <v>19.079999999999998</v>
      </c>
      <c r="D307" s="63">
        <v>21.61</v>
      </c>
      <c r="E307">
        <f t="shared" si="10"/>
        <v>21.934709600000005</v>
      </c>
      <c r="F307">
        <f t="shared" si="11"/>
        <v>0.32470960000000559</v>
      </c>
    </row>
    <row r="308" spans="1:6" ht="14.25" customHeight="1" x14ac:dyDescent="0.4">
      <c r="A308" s="62">
        <v>50</v>
      </c>
      <c r="B308" s="63">
        <v>1018.78</v>
      </c>
      <c r="C308" s="63">
        <v>20.54</v>
      </c>
      <c r="D308" s="63">
        <v>37.28</v>
      </c>
      <c r="E308">
        <f t="shared" si="10"/>
        <v>35.985700199999997</v>
      </c>
      <c r="F308">
        <f t="shared" si="11"/>
        <v>1.2942998000000046</v>
      </c>
    </row>
    <row r="309" spans="1:6" ht="14.25" customHeight="1" x14ac:dyDescent="0.4">
      <c r="A309" s="62">
        <v>51</v>
      </c>
      <c r="B309" s="63">
        <v>795.66</v>
      </c>
      <c r="C309" s="63">
        <v>18.39</v>
      </c>
      <c r="D309" s="63">
        <v>30.2</v>
      </c>
      <c r="E309">
        <f t="shared" si="10"/>
        <v>29.547198799999993</v>
      </c>
      <c r="F309">
        <f t="shared" si="11"/>
        <v>0.65280120000000608</v>
      </c>
    </row>
    <row r="310" spans="1:6" ht="14.25" customHeight="1" x14ac:dyDescent="0.4">
      <c r="A310" s="62">
        <v>52</v>
      </c>
      <c r="B310" s="63">
        <v>798.52</v>
      </c>
      <c r="C310" s="63">
        <v>26.92</v>
      </c>
      <c r="D310" s="63">
        <v>20.85</v>
      </c>
      <c r="E310">
        <f t="shared" si="10"/>
        <v>19.647353199999994</v>
      </c>
      <c r="F310">
        <f t="shared" si="11"/>
        <v>1.2026468000000072</v>
      </c>
    </row>
    <row r="311" spans="1:6" ht="14.25" customHeight="1" x14ac:dyDescent="0.4">
      <c r="A311" s="62">
        <v>53</v>
      </c>
      <c r="B311" s="63">
        <v>944.07</v>
      </c>
      <c r="C311" s="63">
        <v>29.84</v>
      </c>
      <c r="D311" s="63">
        <v>21.28</v>
      </c>
      <c r="E311">
        <f t="shared" si="10"/>
        <v>22.065841499999998</v>
      </c>
      <c r="F311">
        <f t="shared" si="11"/>
        <v>0.78584149999999653</v>
      </c>
    </row>
    <row r="312" spans="1:6" ht="14.25" customHeight="1" x14ac:dyDescent="0.4">
      <c r="A312" s="62">
        <v>54</v>
      </c>
      <c r="B312" s="63">
        <v>866.03</v>
      </c>
      <c r="C312" s="63">
        <v>25.26</v>
      </c>
      <c r="D312" s="63">
        <v>24.07</v>
      </c>
      <c r="E312">
        <f t="shared" si="10"/>
        <v>24.308169499999998</v>
      </c>
      <c r="F312">
        <f t="shared" si="11"/>
        <v>0.23816949999999792</v>
      </c>
    </row>
    <row r="313" spans="1:6" ht="14.25" customHeight="1" x14ac:dyDescent="0.4">
      <c r="A313" s="62">
        <v>55</v>
      </c>
      <c r="B313" s="63">
        <v>790.42</v>
      </c>
      <c r="C313" s="63">
        <v>20.29</v>
      </c>
      <c r="D313" s="63">
        <v>25.57</v>
      </c>
      <c r="E313">
        <f t="shared" si="10"/>
        <v>27.105993999999992</v>
      </c>
      <c r="F313">
        <f t="shared" si="11"/>
        <v>1.5359939999999916</v>
      </c>
    </row>
    <row r="314" spans="1:6" ht="14.25" customHeight="1" x14ac:dyDescent="0.4">
      <c r="A314" s="62">
        <v>56</v>
      </c>
      <c r="B314" s="63">
        <v>501</v>
      </c>
      <c r="C314" s="63">
        <v>23.63</v>
      </c>
      <c r="D314" s="63">
        <v>11.2</v>
      </c>
      <c r="E314">
        <f t="shared" si="10"/>
        <v>11.558632200000002</v>
      </c>
      <c r="F314">
        <f t="shared" si="11"/>
        <v>0.3586322000000024</v>
      </c>
    </row>
    <row r="315" spans="1:6" ht="14.25" customHeight="1" x14ac:dyDescent="0.4">
      <c r="A315" s="62">
        <v>57</v>
      </c>
      <c r="B315" s="63">
        <v>564.58000000000004</v>
      </c>
      <c r="C315" s="63">
        <v>28.04</v>
      </c>
      <c r="D315" s="63">
        <v>9.83</v>
      </c>
      <c r="E315">
        <f t="shared" si="10"/>
        <v>8.9350362000000061</v>
      </c>
      <c r="F315">
        <f t="shared" si="11"/>
        <v>0.89496379999999398</v>
      </c>
    </row>
    <row r="316" spans="1:6" ht="14.25" customHeight="1" x14ac:dyDescent="0.4">
      <c r="A316" s="62">
        <v>58</v>
      </c>
      <c r="B316" s="63">
        <v>996.58</v>
      </c>
      <c r="C316" s="63">
        <v>33.99</v>
      </c>
      <c r="D316" s="63">
        <v>18.62</v>
      </c>
      <c r="E316">
        <f t="shared" si="10"/>
        <v>19.302819199999988</v>
      </c>
      <c r="F316">
        <f t="shared" si="11"/>
        <v>0.68281919999998664</v>
      </c>
    </row>
    <row r="317" spans="1:6" ht="14.25" customHeight="1" x14ac:dyDescent="0.4">
      <c r="A317" s="62">
        <v>59</v>
      </c>
      <c r="B317" s="63">
        <v>867.04</v>
      </c>
      <c r="C317" s="63">
        <v>34.869999999999997</v>
      </c>
      <c r="D317" s="63">
        <v>13.55</v>
      </c>
      <c r="E317">
        <f t="shared" si="10"/>
        <v>13.066024600000006</v>
      </c>
      <c r="F317">
        <f t="shared" si="11"/>
        <v>0.48397539999999495</v>
      </c>
    </row>
    <row r="318" spans="1:6" ht="14.25" customHeight="1" x14ac:dyDescent="0.4">
      <c r="A318" s="62">
        <v>60</v>
      </c>
      <c r="B318" s="63">
        <v>987.31</v>
      </c>
      <c r="C318" s="63">
        <v>22.11</v>
      </c>
      <c r="D318" s="63">
        <v>32.1</v>
      </c>
      <c r="E318">
        <f t="shared" si="10"/>
        <v>32.878276100000001</v>
      </c>
      <c r="F318">
        <f t="shared" si="11"/>
        <v>0.77827609999999936</v>
      </c>
    </row>
    <row r="319" spans="1:6" ht="14.25" customHeight="1" x14ac:dyDescent="0.4">
      <c r="A319" s="62">
        <v>61</v>
      </c>
      <c r="B319" s="63">
        <v>1168.83</v>
      </c>
      <c r="C319" s="63">
        <v>18.18</v>
      </c>
      <c r="D319" s="63">
        <v>44.05</v>
      </c>
      <c r="E319">
        <f t="shared" si="10"/>
        <v>44.783990299999985</v>
      </c>
      <c r="F319">
        <f t="shared" si="11"/>
        <v>0.73399029999998788</v>
      </c>
    </row>
    <row r="320" spans="1:6" ht="14.25" customHeight="1" x14ac:dyDescent="0.4">
      <c r="A320" s="62">
        <v>62</v>
      </c>
      <c r="B320" s="63">
        <v>978.04</v>
      </c>
      <c r="C320" s="63">
        <v>32.119999999999997</v>
      </c>
      <c r="D320" s="63">
        <v>20.64</v>
      </c>
      <c r="E320">
        <f t="shared" si="10"/>
        <v>20.753559599999996</v>
      </c>
      <c r="F320">
        <f t="shared" si="11"/>
        <v>0.11355959999999499</v>
      </c>
    </row>
    <row r="321" spans="1:6" ht="14.25" customHeight="1" x14ac:dyDescent="0.4">
      <c r="A321" s="62">
        <v>63</v>
      </c>
      <c r="B321" s="63">
        <v>537.19000000000005</v>
      </c>
      <c r="C321" s="63">
        <v>33.75</v>
      </c>
      <c r="D321" s="63">
        <v>0.69</v>
      </c>
      <c r="E321">
        <f t="shared" si="10"/>
        <v>1.1308973000000009</v>
      </c>
      <c r="F321">
        <f t="shared" si="11"/>
        <v>0.44089730000000094</v>
      </c>
    </row>
    <row r="322" spans="1:6" ht="14.25" customHeight="1" x14ac:dyDescent="0.4">
      <c r="A322" s="62">
        <v>64</v>
      </c>
      <c r="B322" s="63">
        <v>716.2</v>
      </c>
      <c r="C322" s="63">
        <v>25.8</v>
      </c>
      <c r="D322" s="63">
        <v>18.579999999999998</v>
      </c>
      <c r="E322">
        <f t="shared" si="10"/>
        <v>17.655505999999992</v>
      </c>
      <c r="F322">
        <f t="shared" si="11"/>
        <v>0.92449400000000637</v>
      </c>
    </row>
    <row r="323" spans="1:6" ht="14.25" customHeight="1" x14ac:dyDescent="0.4">
      <c r="A323" s="62">
        <v>65</v>
      </c>
      <c r="B323" s="63">
        <v>914.82</v>
      </c>
      <c r="C323" s="63">
        <v>31.11</v>
      </c>
      <c r="D323" s="63">
        <v>19.52</v>
      </c>
      <c r="E323">
        <f t="shared" si="10"/>
        <v>19.399812799999999</v>
      </c>
      <c r="F323">
        <f t="shared" si="11"/>
        <v>0.12018720000000016</v>
      </c>
    </row>
    <row r="324" spans="1:6" ht="14.25" customHeight="1" x14ac:dyDescent="0.4">
      <c r="A324" s="62">
        <v>66</v>
      </c>
      <c r="B324" s="63">
        <v>664.58</v>
      </c>
      <c r="C324" s="63">
        <v>32.729999999999997</v>
      </c>
      <c r="D324" s="63">
        <v>9.92</v>
      </c>
      <c r="E324">
        <f t="shared" ref="E324:E338" si="12">19.1765 + 0.04017*B324- 1.17406*C324</f>
        <v>7.4456947999999983</v>
      </c>
      <c r="F324">
        <f t="shared" ref="F324:F338" si="13">ABS(D324-E324)</f>
        <v>2.4743052000000016</v>
      </c>
    </row>
    <row r="325" spans="1:6" ht="14.25" customHeight="1" x14ac:dyDescent="0.4">
      <c r="A325" s="62">
        <v>67</v>
      </c>
      <c r="B325" s="63">
        <v>1175.48</v>
      </c>
      <c r="C325" s="63">
        <v>28.36</v>
      </c>
      <c r="D325" s="63">
        <v>32.65</v>
      </c>
      <c r="E325">
        <f t="shared" si="12"/>
        <v>33.099189999999993</v>
      </c>
      <c r="F325">
        <f t="shared" si="13"/>
        <v>0.44918999999999443</v>
      </c>
    </row>
    <row r="326" spans="1:6" ht="14.25" customHeight="1" x14ac:dyDescent="0.4">
      <c r="A326" s="62">
        <v>68</v>
      </c>
      <c r="B326" s="63">
        <v>1161.53</v>
      </c>
      <c r="C326" s="63">
        <v>32.83</v>
      </c>
      <c r="D326" s="63">
        <v>26.72</v>
      </c>
      <c r="E326">
        <f t="shared" si="12"/>
        <v>27.290770299999991</v>
      </c>
      <c r="F326">
        <f t="shared" si="13"/>
        <v>0.5707702999999924</v>
      </c>
    </row>
    <row r="327" spans="1:6" ht="14.25" customHeight="1" x14ac:dyDescent="0.4">
      <c r="A327" s="62">
        <v>69</v>
      </c>
      <c r="B327" s="63">
        <v>1093.8800000000001</v>
      </c>
      <c r="C327" s="63">
        <v>18.41</v>
      </c>
      <c r="D327" s="63">
        <v>40.11</v>
      </c>
      <c r="E327">
        <f t="shared" si="12"/>
        <v>41.503214999999997</v>
      </c>
      <c r="F327">
        <f t="shared" si="13"/>
        <v>1.3932149999999979</v>
      </c>
    </row>
    <row r="328" spans="1:6" ht="14.25" customHeight="1" x14ac:dyDescent="0.4">
      <c r="A328" s="62">
        <v>70</v>
      </c>
      <c r="B328" s="63">
        <v>830.63</v>
      </c>
      <c r="C328" s="63">
        <v>22.62</v>
      </c>
      <c r="D328" s="63">
        <v>26.12</v>
      </c>
      <c r="E328">
        <f t="shared" si="12"/>
        <v>25.985669899999991</v>
      </c>
      <c r="F328">
        <f t="shared" si="13"/>
        <v>0.13433010000001033</v>
      </c>
    </row>
    <row r="329" spans="1:6" ht="14.25" customHeight="1" x14ac:dyDescent="0.4">
      <c r="A329" s="62">
        <v>71</v>
      </c>
      <c r="B329" s="63">
        <v>1089.03</v>
      </c>
      <c r="C329" s="63">
        <v>22.71</v>
      </c>
      <c r="D329" s="63">
        <v>37.33</v>
      </c>
      <c r="E329">
        <f t="shared" si="12"/>
        <v>36.259932499999998</v>
      </c>
      <c r="F329">
        <f t="shared" si="13"/>
        <v>1.0700675000000004</v>
      </c>
    </row>
    <row r="330" spans="1:6" ht="14.25" customHeight="1" x14ac:dyDescent="0.4">
      <c r="A330" s="62">
        <v>72</v>
      </c>
      <c r="B330" s="63">
        <v>591.78</v>
      </c>
      <c r="C330" s="63">
        <v>20.05</v>
      </c>
      <c r="D330" s="63">
        <v>18.5</v>
      </c>
      <c r="E330">
        <f t="shared" si="12"/>
        <v>19.408399599999996</v>
      </c>
      <c r="F330">
        <f t="shared" si="13"/>
        <v>0.90839959999999564</v>
      </c>
    </row>
    <row r="331" spans="1:6" ht="14.25" customHeight="1" x14ac:dyDescent="0.4">
      <c r="A331" s="62">
        <v>73</v>
      </c>
      <c r="B331" s="63">
        <v>716.11</v>
      </c>
      <c r="C331" s="63">
        <v>33.479999999999997</v>
      </c>
      <c r="D331" s="63">
        <v>8.39</v>
      </c>
      <c r="E331">
        <f t="shared" si="12"/>
        <v>8.6351099000000033</v>
      </c>
      <c r="F331">
        <f t="shared" si="13"/>
        <v>0.24510990000000277</v>
      </c>
    </row>
    <row r="332" spans="1:6" ht="14.25" customHeight="1" x14ac:dyDescent="0.4">
      <c r="A332" s="62">
        <v>74</v>
      </c>
      <c r="B332" s="63">
        <v>824.1</v>
      </c>
      <c r="C332" s="63">
        <v>18.52</v>
      </c>
      <c r="D332" s="63">
        <v>31.82</v>
      </c>
      <c r="E332">
        <f t="shared" si="12"/>
        <v>30.537005799999999</v>
      </c>
      <c r="F332">
        <f t="shared" si="13"/>
        <v>1.282994200000001</v>
      </c>
    </row>
    <row r="333" spans="1:6" ht="14.25" customHeight="1" x14ac:dyDescent="0.4">
      <c r="A333" s="62">
        <v>75</v>
      </c>
      <c r="B333" s="63">
        <v>1019.29</v>
      </c>
      <c r="C333" s="63">
        <v>29.43</v>
      </c>
      <c r="D333" s="63">
        <v>25.26</v>
      </c>
      <c r="E333">
        <f t="shared" si="12"/>
        <v>25.568793499999998</v>
      </c>
      <c r="F333">
        <f t="shared" si="13"/>
        <v>0.30879349999999661</v>
      </c>
    </row>
    <row r="334" spans="1:6" ht="14.25" customHeight="1" x14ac:dyDescent="0.4">
      <c r="A334" s="62">
        <v>76</v>
      </c>
      <c r="B334" s="63">
        <v>840.08</v>
      </c>
      <c r="C334" s="63">
        <v>19.21</v>
      </c>
      <c r="D334" s="63">
        <v>29.77</v>
      </c>
      <c r="E334">
        <f t="shared" si="12"/>
        <v>30.368821000000001</v>
      </c>
      <c r="F334">
        <f t="shared" si="13"/>
        <v>0.59882100000000094</v>
      </c>
    </row>
    <row r="335" spans="1:6" ht="14.25" customHeight="1" x14ac:dyDescent="0.4">
      <c r="A335" s="62">
        <v>77</v>
      </c>
      <c r="B335" s="63">
        <v>595.80999999999995</v>
      </c>
      <c r="C335" s="63">
        <v>24.13</v>
      </c>
      <c r="D335" s="63">
        <v>16.329999999999998</v>
      </c>
      <c r="E335">
        <f t="shared" si="12"/>
        <v>14.780119899999995</v>
      </c>
      <c r="F335">
        <f t="shared" si="13"/>
        <v>1.5498801000000029</v>
      </c>
    </row>
    <row r="336" spans="1:6" ht="14.25" customHeight="1" x14ac:dyDescent="0.4">
      <c r="A336" s="62">
        <v>78</v>
      </c>
      <c r="B336" s="63">
        <v>740.48</v>
      </c>
      <c r="C336" s="63">
        <v>25.11</v>
      </c>
      <c r="D336" s="63">
        <v>19.64</v>
      </c>
      <c r="E336">
        <f t="shared" si="12"/>
        <v>19.440934999999993</v>
      </c>
      <c r="F336">
        <f t="shared" si="13"/>
        <v>0.19906500000000804</v>
      </c>
    </row>
    <row r="337" spans="1:7" ht="14.25" customHeight="1" x14ac:dyDescent="0.4">
      <c r="A337" s="62">
        <v>79</v>
      </c>
      <c r="B337" s="63">
        <v>727.1</v>
      </c>
      <c r="C337" s="63">
        <v>21.08</v>
      </c>
      <c r="D337" s="63">
        <v>24.38</v>
      </c>
      <c r="E337">
        <f t="shared" si="12"/>
        <v>23.634922199999998</v>
      </c>
      <c r="F337">
        <f t="shared" si="13"/>
        <v>0.74507780000000068</v>
      </c>
    </row>
    <row r="338" spans="1:7" ht="14.25" customHeight="1" x14ac:dyDescent="0.4">
      <c r="A338" s="62">
        <v>80</v>
      </c>
      <c r="B338" s="63">
        <v>710.29</v>
      </c>
      <c r="C338" s="63">
        <v>26.86</v>
      </c>
      <c r="D338" s="63">
        <v>17.940000000000001</v>
      </c>
      <c r="E338">
        <f t="shared" si="12"/>
        <v>16.173597699999995</v>
      </c>
      <c r="F338">
        <f t="shared" si="13"/>
        <v>1.7664023000000064</v>
      </c>
    </row>
    <row r="339" spans="1:7" ht="14.25" customHeight="1" x14ac:dyDescent="0.35"/>
    <row r="340" spans="1:7" ht="14.25" customHeight="1" x14ac:dyDescent="0.35"/>
    <row r="341" spans="1:7" ht="14.25" customHeight="1" x14ac:dyDescent="0.35"/>
    <row r="342" spans="1:7" ht="14.25" customHeight="1" x14ac:dyDescent="0.35"/>
    <row r="343" spans="1:7" ht="14.25" customHeight="1" x14ac:dyDescent="0.35">
      <c r="A343" s="67" t="s">
        <v>50</v>
      </c>
    </row>
    <row r="344" spans="1:7" ht="14.25" customHeight="1" x14ac:dyDescent="0.35"/>
    <row r="345" spans="1:7" ht="14.25" customHeight="1" x14ac:dyDescent="0.4">
      <c r="A345" s="60" t="s">
        <v>7</v>
      </c>
      <c r="B345" s="58" t="s">
        <v>8</v>
      </c>
      <c r="C345" s="58" t="s">
        <v>9</v>
      </c>
      <c r="D345" s="58" t="s">
        <v>10</v>
      </c>
      <c r="E345" s="65" t="s">
        <v>54</v>
      </c>
      <c r="F345" s="65" t="s">
        <v>55</v>
      </c>
      <c r="G345" s="66" t="s">
        <v>15</v>
      </c>
    </row>
    <row r="346" spans="1:7" ht="14.25" customHeight="1" x14ac:dyDescent="0.4">
      <c r="A346" s="62">
        <v>1</v>
      </c>
      <c r="B346" s="63">
        <v>553.41999999999996</v>
      </c>
      <c r="C346" s="63">
        <v>19.18</v>
      </c>
      <c r="D346" s="64">
        <v>16.79</v>
      </c>
      <c r="E346">
        <f>18.8663+0.04028*B346-1.16849*C346</f>
        <v>18.746419400000001</v>
      </c>
      <c r="F346">
        <f>ABS(D346-E346)</f>
        <v>1.9564194000000015</v>
      </c>
      <c r="G346">
        <f>AVERAGE(F346:F415)</f>
        <v>1.196553240000001</v>
      </c>
    </row>
    <row r="347" spans="1:7" ht="14.25" customHeight="1" x14ac:dyDescent="0.4">
      <c r="A347" s="62">
        <v>2</v>
      </c>
      <c r="B347" s="63">
        <v>1045.94</v>
      </c>
      <c r="C347" s="63">
        <v>24.07</v>
      </c>
      <c r="D347" s="63">
        <v>34.090000000000003</v>
      </c>
      <c r="E347">
        <f t="shared" ref="E347:E410" si="14">18.8663+0.04028*B347-1.16849*C347</f>
        <v>32.871208899999999</v>
      </c>
      <c r="F347">
        <f t="shared" ref="F347:F410" si="15">ABS(D347-E347)</f>
        <v>1.2187911000000042</v>
      </c>
    </row>
    <row r="348" spans="1:7" ht="14.25" customHeight="1" x14ac:dyDescent="0.4">
      <c r="A348" s="62">
        <v>3</v>
      </c>
      <c r="B348" s="63">
        <v>806.89</v>
      </c>
      <c r="C348" s="63">
        <v>31.82</v>
      </c>
      <c r="D348" s="63">
        <v>15.9</v>
      </c>
      <c r="E348">
        <f t="shared" si="14"/>
        <v>14.186477400000001</v>
      </c>
      <c r="F348">
        <f t="shared" si="15"/>
        <v>1.7135225999999992</v>
      </c>
    </row>
    <row r="349" spans="1:7" ht="14.25" customHeight="1" x14ac:dyDescent="0.4">
      <c r="A349" s="62">
        <v>4</v>
      </c>
      <c r="B349" s="63">
        <v>1006.43</v>
      </c>
      <c r="C349" s="63">
        <v>25.27</v>
      </c>
      <c r="D349" s="63">
        <v>31.4</v>
      </c>
      <c r="E349">
        <f t="shared" si="14"/>
        <v>29.877558100000002</v>
      </c>
      <c r="F349">
        <f t="shared" si="15"/>
        <v>1.5224418999999969</v>
      </c>
    </row>
    <row r="350" spans="1:7" ht="14.25" customHeight="1" x14ac:dyDescent="0.4">
      <c r="A350" s="62">
        <v>5</v>
      </c>
      <c r="B350" s="63">
        <v>1184.5899999999999</v>
      </c>
      <c r="C350" s="63">
        <v>28.2</v>
      </c>
      <c r="D350" s="63">
        <v>32.15</v>
      </c>
      <c r="E350">
        <f t="shared" si="14"/>
        <v>33.63016720000001</v>
      </c>
      <c r="F350">
        <f t="shared" si="15"/>
        <v>1.480167200000011</v>
      </c>
    </row>
    <row r="351" spans="1:7" ht="14.25" customHeight="1" x14ac:dyDescent="0.4">
      <c r="A351" s="62">
        <v>6</v>
      </c>
      <c r="B351" s="63">
        <v>876.95</v>
      </c>
      <c r="C351" s="63">
        <v>30.38</v>
      </c>
      <c r="D351" s="63">
        <v>19.239999999999998</v>
      </c>
      <c r="E351">
        <f t="shared" si="14"/>
        <v>18.691119800000003</v>
      </c>
      <c r="F351">
        <f t="shared" si="15"/>
        <v>0.54888019999999571</v>
      </c>
    </row>
    <row r="352" spans="1:7" ht="14.25" customHeight="1" x14ac:dyDescent="0.4">
      <c r="A352" s="62">
        <v>7</v>
      </c>
      <c r="B352" s="63">
        <v>850.78</v>
      </c>
      <c r="C352" s="63">
        <v>31.96</v>
      </c>
      <c r="D352" s="63">
        <v>18.47</v>
      </c>
      <c r="E352">
        <f t="shared" si="14"/>
        <v>15.790778000000003</v>
      </c>
      <c r="F352">
        <f t="shared" si="15"/>
        <v>2.6792219999999958</v>
      </c>
    </row>
    <row r="353" spans="1:6" ht="14.25" customHeight="1" x14ac:dyDescent="0.4">
      <c r="A353" s="62">
        <v>8</v>
      </c>
      <c r="B353" s="63">
        <v>550.44000000000005</v>
      </c>
      <c r="C353" s="63">
        <v>30.93</v>
      </c>
      <c r="D353" s="63">
        <v>2.66</v>
      </c>
      <c r="E353">
        <f t="shared" si="14"/>
        <v>4.8966274999999939</v>
      </c>
      <c r="F353">
        <f t="shared" si="15"/>
        <v>2.2366274999999938</v>
      </c>
    </row>
    <row r="354" spans="1:6" ht="14.25" customHeight="1" x14ac:dyDescent="0.4">
      <c r="A354" s="62">
        <v>9</v>
      </c>
      <c r="B354" s="63">
        <v>687.91</v>
      </c>
      <c r="C354" s="63">
        <v>18.12</v>
      </c>
      <c r="D354" s="63">
        <v>26.49</v>
      </c>
      <c r="E354">
        <f t="shared" si="14"/>
        <v>25.402276000000001</v>
      </c>
      <c r="F354">
        <f t="shared" si="15"/>
        <v>1.0877239999999979</v>
      </c>
    </row>
    <row r="355" spans="1:6" ht="14.25" customHeight="1" x14ac:dyDescent="0.4">
      <c r="A355" s="62">
        <v>10</v>
      </c>
      <c r="B355" s="63">
        <v>849.92</v>
      </c>
      <c r="C355" s="63">
        <v>25.14</v>
      </c>
      <c r="D355" s="63">
        <v>25.49</v>
      </c>
      <c r="E355">
        <f t="shared" si="14"/>
        <v>23.725238999999995</v>
      </c>
      <c r="F355">
        <f t="shared" si="15"/>
        <v>1.7647610000000036</v>
      </c>
    </row>
    <row r="356" spans="1:6" ht="14.25" customHeight="1" x14ac:dyDescent="0.4">
      <c r="A356" s="62">
        <v>11</v>
      </c>
      <c r="B356" s="63">
        <v>975.46</v>
      </c>
      <c r="C356" s="63">
        <v>25.87</v>
      </c>
      <c r="D356" s="63">
        <v>26.93</v>
      </c>
      <c r="E356">
        <f t="shared" si="14"/>
        <v>27.928992500000003</v>
      </c>
      <c r="F356">
        <f t="shared" si="15"/>
        <v>0.9989925000000035</v>
      </c>
    </row>
    <row r="357" spans="1:6" ht="14.25" customHeight="1" x14ac:dyDescent="0.4">
      <c r="A357" s="62">
        <v>12</v>
      </c>
      <c r="B357" s="63">
        <v>1062.6199999999999</v>
      </c>
      <c r="C357" s="63">
        <v>18.940000000000001</v>
      </c>
      <c r="D357" s="63">
        <v>40.65</v>
      </c>
      <c r="E357">
        <f t="shared" si="14"/>
        <v>39.537432999999993</v>
      </c>
      <c r="F357">
        <f t="shared" si="15"/>
        <v>1.1125670000000056</v>
      </c>
    </row>
    <row r="358" spans="1:6" ht="14.25" customHeight="1" x14ac:dyDescent="0.4">
      <c r="A358" s="62">
        <v>13</v>
      </c>
      <c r="B358" s="63">
        <v>766.66</v>
      </c>
      <c r="C358" s="63">
        <v>27.2</v>
      </c>
      <c r="D358" s="63">
        <v>16.41</v>
      </c>
      <c r="E358">
        <f t="shared" si="14"/>
        <v>17.964436800000001</v>
      </c>
      <c r="F358">
        <f t="shared" si="15"/>
        <v>1.5544368000000013</v>
      </c>
    </row>
    <row r="359" spans="1:6" ht="14.25" customHeight="1" x14ac:dyDescent="0.4">
      <c r="A359" s="62">
        <v>14</v>
      </c>
      <c r="B359" s="63">
        <v>546.16</v>
      </c>
      <c r="C359" s="63">
        <v>28.33</v>
      </c>
      <c r="D359" s="63">
        <v>6.63</v>
      </c>
      <c r="E359">
        <f t="shared" si="14"/>
        <v>7.7623030999999969</v>
      </c>
      <c r="F359">
        <f t="shared" si="15"/>
        <v>1.132303099999997</v>
      </c>
    </row>
    <row r="360" spans="1:6" ht="14.25" customHeight="1" x14ac:dyDescent="0.4">
      <c r="A360" s="62">
        <v>15</v>
      </c>
      <c r="B360" s="63">
        <v>701.7</v>
      </c>
      <c r="C360" s="63">
        <v>32.08</v>
      </c>
      <c r="D360" s="63">
        <v>8.34</v>
      </c>
      <c r="E360">
        <f t="shared" si="14"/>
        <v>9.6456168000000062</v>
      </c>
      <c r="F360">
        <f t="shared" si="15"/>
        <v>1.3056168000000064</v>
      </c>
    </row>
    <row r="361" spans="1:6" ht="14.25" customHeight="1" x14ac:dyDescent="0.4">
      <c r="A361" s="62">
        <v>16</v>
      </c>
      <c r="B361" s="63">
        <v>1136.72</v>
      </c>
      <c r="C361" s="63">
        <v>34.01</v>
      </c>
      <c r="D361" s="63">
        <v>24.94</v>
      </c>
      <c r="E361">
        <f t="shared" si="14"/>
        <v>24.913036700000006</v>
      </c>
      <c r="F361">
        <f t="shared" si="15"/>
        <v>2.6963299999994916E-2</v>
      </c>
    </row>
    <row r="362" spans="1:6" ht="14.25" customHeight="1" x14ac:dyDescent="0.4">
      <c r="A362" s="62">
        <v>17</v>
      </c>
      <c r="B362" s="63">
        <v>649.37</v>
      </c>
      <c r="C362" s="63">
        <v>20.18</v>
      </c>
      <c r="D362" s="63">
        <v>21.62</v>
      </c>
      <c r="E362">
        <f t="shared" si="14"/>
        <v>21.442795399999998</v>
      </c>
      <c r="F362">
        <f t="shared" si="15"/>
        <v>0.17720460000000315</v>
      </c>
    </row>
    <row r="363" spans="1:6" ht="14.25" customHeight="1" x14ac:dyDescent="0.4">
      <c r="A363" s="62">
        <v>18</v>
      </c>
      <c r="B363" s="63">
        <v>816.49</v>
      </c>
      <c r="C363" s="63">
        <v>21.92</v>
      </c>
      <c r="D363" s="63">
        <v>27.79</v>
      </c>
      <c r="E363">
        <f t="shared" si="14"/>
        <v>26.141216399999994</v>
      </c>
      <c r="F363">
        <f t="shared" si="15"/>
        <v>1.6487836000000051</v>
      </c>
    </row>
    <row r="364" spans="1:6" ht="14.25" customHeight="1" x14ac:dyDescent="0.4">
      <c r="A364" s="62">
        <v>19</v>
      </c>
      <c r="B364" s="63">
        <v>1151.8399999999999</v>
      </c>
      <c r="C364" s="63">
        <v>29.21</v>
      </c>
      <c r="D364" s="63">
        <v>29.62</v>
      </c>
      <c r="E364">
        <f t="shared" si="14"/>
        <v>31.130822299999991</v>
      </c>
      <c r="F364">
        <f t="shared" si="15"/>
        <v>1.5108222999999903</v>
      </c>
    </row>
    <row r="365" spans="1:6" ht="14.25" customHeight="1" x14ac:dyDescent="0.4">
      <c r="A365" s="62">
        <v>20</v>
      </c>
      <c r="B365" s="63">
        <v>517.42999999999995</v>
      </c>
      <c r="C365" s="63">
        <v>20.25</v>
      </c>
      <c r="D365" s="63">
        <v>16.2</v>
      </c>
      <c r="E365">
        <f t="shared" si="14"/>
        <v>16.046457899999996</v>
      </c>
      <c r="F365">
        <f t="shared" si="15"/>
        <v>0.15354210000000279</v>
      </c>
    </row>
    <row r="366" spans="1:6" ht="14.25" customHeight="1" x14ac:dyDescent="0.4">
      <c r="A366" s="62">
        <v>21</v>
      </c>
      <c r="B366" s="63">
        <v>920.38</v>
      </c>
      <c r="C366" s="63">
        <v>21.81</v>
      </c>
      <c r="D366" s="63">
        <v>32.090000000000003</v>
      </c>
      <c r="E366">
        <f t="shared" si="14"/>
        <v>30.454439500000003</v>
      </c>
      <c r="F366">
        <f t="shared" si="15"/>
        <v>1.6355605000000004</v>
      </c>
    </row>
    <row r="367" spans="1:6" ht="14.25" customHeight="1" x14ac:dyDescent="0.4">
      <c r="A367" s="62">
        <v>22</v>
      </c>
      <c r="B367" s="63">
        <v>1165.0899999999999</v>
      </c>
      <c r="C367" s="63">
        <v>27.77</v>
      </c>
      <c r="D367" s="63">
        <v>34.119999999999997</v>
      </c>
      <c r="E367">
        <f t="shared" si="14"/>
        <v>33.347157900000006</v>
      </c>
      <c r="F367">
        <f t="shared" si="15"/>
        <v>0.77284209999999121</v>
      </c>
    </row>
    <row r="368" spans="1:6" ht="14.25" customHeight="1" x14ac:dyDescent="0.4">
      <c r="A368" s="62">
        <v>23</v>
      </c>
      <c r="B368" s="63">
        <v>661.21</v>
      </c>
      <c r="C368" s="63">
        <v>20.88</v>
      </c>
      <c r="D368" s="63">
        <v>19.399999999999999</v>
      </c>
      <c r="E368">
        <f t="shared" si="14"/>
        <v>21.101767600000006</v>
      </c>
      <c r="F368">
        <f t="shared" si="15"/>
        <v>1.7017676000000073</v>
      </c>
    </row>
    <row r="369" spans="1:6" ht="14.25" customHeight="1" x14ac:dyDescent="0.4">
      <c r="A369" s="62">
        <v>24</v>
      </c>
      <c r="B369" s="63">
        <v>883.94</v>
      </c>
      <c r="C369" s="63">
        <v>31.3</v>
      </c>
      <c r="D369" s="63">
        <v>18.8</v>
      </c>
      <c r="E369">
        <f t="shared" si="14"/>
        <v>17.897666199999996</v>
      </c>
      <c r="F369">
        <f t="shared" si="15"/>
        <v>0.90233380000000452</v>
      </c>
    </row>
    <row r="370" spans="1:6" ht="14.25" customHeight="1" x14ac:dyDescent="0.4">
      <c r="A370" s="62">
        <v>25</v>
      </c>
      <c r="B370" s="63">
        <v>1136.3900000000001</v>
      </c>
      <c r="C370" s="63">
        <v>32.57</v>
      </c>
      <c r="D370" s="63">
        <v>25.66</v>
      </c>
      <c r="E370">
        <f t="shared" si="14"/>
        <v>26.582369900000003</v>
      </c>
      <c r="F370">
        <f t="shared" si="15"/>
        <v>0.92236990000000318</v>
      </c>
    </row>
    <row r="371" spans="1:6" ht="14.25" customHeight="1" x14ac:dyDescent="0.4">
      <c r="A371" s="62">
        <v>26</v>
      </c>
      <c r="B371" s="63">
        <v>593.22</v>
      </c>
      <c r="C371" s="63">
        <v>18.57</v>
      </c>
      <c r="D371" s="63">
        <v>22.02</v>
      </c>
      <c r="E371">
        <f t="shared" si="14"/>
        <v>21.062342300000005</v>
      </c>
      <c r="F371">
        <f t="shared" si="15"/>
        <v>0.95765769999999506</v>
      </c>
    </row>
    <row r="372" spans="1:6" ht="14.25" customHeight="1" x14ac:dyDescent="0.4">
      <c r="A372" s="62">
        <v>27</v>
      </c>
      <c r="B372" s="63">
        <v>866.39</v>
      </c>
      <c r="C372" s="63">
        <v>27.05</v>
      </c>
      <c r="D372" s="63">
        <v>22.64</v>
      </c>
      <c r="E372">
        <f t="shared" si="14"/>
        <v>22.156834699999997</v>
      </c>
      <c r="F372">
        <f t="shared" si="15"/>
        <v>0.48316530000000313</v>
      </c>
    </row>
    <row r="373" spans="1:6" ht="14.25" customHeight="1" x14ac:dyDescent="0.4">
      <c r="A373" s="62">
        <v>28</v>
      </c>
      <c r="B373" s="63">
        <v>1025.29</v>
      </c>
      <c r="C373" s="63">
        <v>31.55</v>
      </c>
      <c r="D373" s="63">
        <v>24.98</v>
      </c>
      <c r="E373">
        <f t="shared" si="14"/>
        <v>23.299121700000001</v>
      </c>
      <c r="F373">
        <f t="shared" si="15"/>
        <v>1.6808782999999998</v>
      </c>
    </row>
    <row r="374" spans="1:6" ht="14.25" customHeight="1" x14ac:dyDescent="0.4">
      <c r="A374" s="62">
        <v>29</v>
      </c>
      <c r="B374" s="63">
        <v>968.31</v>
      </c>
      <c r="C374" s="63">
        <v>34.58</v>
      </c>
      <c r="D374" s="63">
        <v>17.41</v>
      </c>
      <c r="E374">
        <f t="shared" si="14"/>
        <v>17.4634426</v>
      </c>
      <c r="F374">
        <f t="shared" si="15"/>
        <v>5.344260000000034E-2</v>
      </c>
    </row>
    <row r="375" spans="1:6" ht="14.25" customHeight="1" x14ac:dyDescent="0.4">
      <c r="A375" s="62">
        <v>30</v>
      </c>
      <c r="B375" s="63">
        <v>827.43</v>
      </c>
      <c r="C375" s="63">
        <v>22.66</v>
      </c>
      <c r="D375" s="63">
        <v>23.12</v>
      </c>
      <c r="E375">
        <f t="shared" si="14"/>
        <v>25.717196999999999</v>
      </c>
      <c r="F375">
        <f t="shared" si="15"/>
        <v>2.5971969999999978</v>
      </c>
    </row>
    <row r="376" spans="1:6" ht="14.25" customHeight="1" x14ac:dyDescent="0.4">
      <c r="A376" s="62">
        <v>31</v>
      </c>
      <c r="B376" s="63">
        <v>643.39</v>
      </c>
      <c r="C376" s="63">
        <v>20.87</v>
      </c>
      <c r="D376" s="63">
        <v>18.63</v>
      </c>
      <c r="E376">
        <f t="shared" si="14"/>
        <v>20.395662900000001</v>
      </c>
      <c r="F376">
        <f t="shared" si="15"/>
        <v>1.7656629000000024</v>
      </c>
    </row>
    <row r="377" spans="1:6" ht="14.25" customHeight="1" x14ac:dyDescent="0.4">
      <c r="A377" s="62">
        <v>32</v>
      </c>
      <c r="B377" s="63">
        <v>843.54</v>
      </c>
      <c r="C377" s="63">
        <v>32.9</v>
      </c>
      <c r="D377" s="63">
        <v>15.35</v>
      </c>
      <c r="E377">
        <f t="shared" si="14"/>
        <v>14.400770199999997</v>
      </c>
      <c r="F377">
        <f t="shared" si="15"/>
        <v>0.94922980000000301</v>
      </c>
    </row>
    <row r="378" spans="1:6" ht="14.25" customHeight="1" x14ac:dyDescent="0.4">
      <c r="A378" s="62">
        <v>33</v>
      </c>
      <c r="B378" s="63">
        <v>760.67</v>
      </c>
      <c r="C378" s="63">
        <v>33.46</v>
      </c>
      <c r="D378" s="63">
        <v>9.89</v>
      </c>
      <c r="E378">
        <f t="shared" si="14"/>
        <v>10.408412200000001</v>
      </c>
      <c r="F378">
        <f t="shared" si="15"/>
        <v>0.51841220000000021</v>
      </c>
    </row>
    <row r="379" spans="1:6" ht="14.25" customHeight="1" x14ac:dyDescent="0.4">
      <c r="A379" s="62">
        <v>34</v>
      </c>
      <c r="B379" s="63">
        <v>834.18</v>
      </c>
      <c r="C379" s="63">
        <v>21.36</v>
      </c>
      <c r="D379" s="63">
        <v>29.44</v>
      </c>
      <c r="E379">
        <f t="shared" si="14"/>
        <v>27.508123999999999</v>
      </c>
      <c r="F379">
        <f t="shared" si="15"/>
        <v>1.9318760000000026</v>
      </c>
    </row>
    <row r="380" spans="1:6" ht="14.25" customHeight="1" x14ac:dyDescent="0.4">
      <c r="A380" s="62">
        <v>35</v>
      </c>
      <c r="B380" s="63">
        <v>756.12</v>
      </c>
      <c r="C380" s="63">
        <v>25.51</v>
      </c>
      <c r="D380" s="63">
        <v>20.05</v>
      </c>
      <c r="E380">
        <f t="shared" si="14"/>
        <v>19.514633700000001</v>
      </c>
      <c r="F380">
        <f t="shared" si="15"/>
        <v>0.53536629999999974</v>
      </c>
    </row>
    <row r="381" spans="1:6" ht="14.25" customHeight="1" x14ac:dyDescent="0.4">
      <c r="A381" s="62">
        <v>36</v>
      </c>
      <c r="B381" s="63">
        <v>1086.54</v>
      </c>
      <c r="C381" s="63">
        <v>30.23</v>
      </c>
      <c r="D381" s="63">
        <v>26.07</v>
      </c>
      <c r="E381">
        <f t="shared" si="14"/>
        <v>27.308678499999999</v>
      </c>
      <c r="F381">
        <f t="shared" si="15"/>
        <v>1.2386784999999989</v>
      </c>
    </row>
    <row r="382" spans="1:6" ht="14.25" customHeight="1" x14ac:dyDescent="0.4">
      <c r="A382" s="62">
        <v>37</v>
      </c>
      <c r="B382" s="63">
        <v>1038.05</v>
      </c>
      <c r="C382" s="63">
        <v>32.369999999999997</v>
      </c>
      <c r="D382" s="63">
        <v>24.3</v>
      </c>
      <c r="E382">
        <f t="shared" si="14"/>
        <v>22.854932700000006</v>
      </c>
      <c r="F382">
        <f t="shared" si="15"/>
        <v>1.4450672999999945</v>
      </c>
    </row>
    <row r="383" spans="1:6" ht="14.25" customHeight="1" x14ac:dyDescent="0.4">
      <c r="A383" s="62">
        <v>38</v>
      </c>
      <c r="B383" s="63">
        <v>719.8</v>
      </c>
      <c r="C383" s="63">
        <v>20.86</v>
      </c>
      <c r="D383" s="63">
        <v>22.55</v>
      </c>
      <c r="E383">
        <f t="shared" si="14"/>
        <v>23.485142599999996</v>
      </c>
      <c r="F383">
        <f t="shared" si="15"/>
        <v>0.93514259999999538</v>
      </c>
    </row>
    <row r="384" spans="1:6" ht="14.25" customHeight="1" x14ac:dyDescent="0.4">
      <c r="A384" s="62">
        <v>39</v>
      </c>
      <c r="B384" s="63">
        <v>900.84</v>
      </c>
      <c r="C384" s="63">
        <v>29.3</v>
      </c>
      <c r="D384" s="63">
        <v>17.79</v>
      </c>
      <c r="E384">
        <f t="shared" si="14"/>
        <v>20.915378199999999</v>
      </c>
      <c r="F384">
        <f t="shared" si="15"/>
        <v>3.1253782000000001</v>
      </c>
    </row>
    <row r="385" spans="1:6" ht="14.25" customHeight="1" x14ac:dyDescent="0.4">
      <c r="A385" s="62">
        <v>40</v>
      </c>
      <c r="B385" s="63">
        <v>693.23</v>
      </c>
      <c r="C385" s="63">
        <v>31.73</v>
      </c>
      <c r="D385" s="63">
        <v>12.75</v>
      </c>
      <c r="E385">
        <f t="shared" si="14"/>
        <v>9.7134167000000033</v>
      </c>
      <c r="F385">
        <f t="shared" si="15"/>
        <v>3.0365832999999967</v>
      </c>
    </row>
    <row r="386" spans="1:6" ht="14.25" customHeight="1" x14ac:dyDescent="0.4">
      <c r="A386" s="62">
        <v>41</v>
      </c>
      <c r="B386" s="63">
        <v>816.99</v>
      </c>
      <c r="C386" s="63">
        <v>27.35</v>
      </c>
      <c r="D386" s="63">
        <v>17</v>
      </c>
      <c r="E386">
        <f t="shared" si="14"/>
        <v>19.816455700000006</v>
      </c>
      <c r="F386">
        <f t="shared" si="15"/>
        <v>2.8164557000000059</v>
      </c>
    </row>
    <row r="387" spans="1:6" ht="14.25" customHeight="1" x14ac:dyDescent="0.4">
      <c r="A387" s="62">
        <v>42</v>
      </c>
      <c r="B387" s="63">
        <v>747.08</v>
      </c>
      <c r="C387" s="63">
        <v>20.8</v>
      </c>
      <c r="D387" s="63">
        <v>25.88</v>
      </c>
      <c r="E387">
        <f t="shared" si="14"/>
        <v>24.654090399999998</v>
      </c>
      <c r="F387">
        <f t="shared" si="15"/>
        <v>1.2259096000000014</v>
      </c>
    </row>
    <row r="388" spans="1:6" ht="14.25" customHeight="1" x14ac:dyDescent="0.4">
      <c r="A388" s="62">
        <v>43</v>
      </c>
      <c r="B388" s="63">
        <v>960.18</v>
      </c>
      <c r="C388" s="63">
        <v>18.600000000000001</v>
      </c>
      <c r="D388" s="63">
        <v>37.49</v>
      </c>
      <c r="E388">
        <f t="shared" si="14"/>
        <v>35.808436400000005</v>
      </c>
      <c r="F388">
        <f t="shared" si="15"/>
        <v>1.6815635999999969</v>
      </c>
    </row>
    <row r="389" spans="1:6" ht="14.25" customHeight="1" x14ac:dyDescent="0.4">
      <c r="A389" s="62">
        <v>44</v>
      </c>
      <c r="B389" s="63">
        <v>759.25</v>
      </c>
      <c r="C389" s="63">
        <v>22.79</v>
      </c>
      <c r="D389" s="63">
        <v>23.25</v>
      </c>
      <c r="E389">
        <f t="shared" si="14"/>
        <v>22.819002900000005</v>
      </c>
      <c r="F389">
        <f t="shared" si="15"/>
        <v>0.43099709999999547</v>
      </c>
    </row>
    <row r="390" spans="1:6" ht="14.25" customHeight="1" x14ac:dyDescent="0.4">
      <c r="A390" s="62">
        <v>45</v>
      </c>
      <c r="B390" s="63">
        <v>821.37</v>
      </c>
      <c r="C390" s="63">
        <v>31.73</v>
      </c>
      <c r="D390" s="63">
        <v>12.25</v>
      </c>
      <c r="E390">
        <f t="shared" si="14"/>
        <v>14.874895900000006</v>
      </c>
      <c r="F390">
        <f t="shared" si="15"/>
        <v>2.6248959000000056</v>
      </c>
    </row>
    <row r="391" spans="1:6" ht="14.25" customHeight="1" x14ac:dyDescent="0.4">
      <c r="A391" s="62">
        <v>46</v>
      </c>
      <c r="B391" s="63">
        <v>1003.53</v>
      </c>
      <c r="C391" s="63">
        <v>18.760000000000002</v>
      </c>
      <c r="D391" s="63">
        <v>39.15</v>
      </c>
      <c r="E391">
        <f t="shared" si="14"/>
        <v>37.367615999999998</v>
      </c>
      <c r="F391">
        <f t="shared" si="15"/>
        <v>1.7823840000000004</v>
      </c>
    </row>
    <row r="392" spans="1:6" ht="14.25" customHeight="1" x14ac:dyDescent="0.4">
      <c r="A392" s="62">
        <v>47</v>
      </c>
      <c r="B392" s="63">
        <v>789.09</v>
      </c>
      <c r="C392" s="63">
        <v>18.14</v>
      </c>
      <c r="D392" s="63">
        <v>27.63</v>
      </c>
      <c r="E392">
        <f t="shared" si="14"/>
        <v>29.454436600000005</v>
      </c>
      <c r="F392">
        <f t="shared" si="15"/>
        <v>1.8244366000000056</v>
      </c>
    </row>
    <row r="393" spans="1:6" ht="14.25" customHeight="1" x14ac:dyDescent="0.4">
      <c r="A393" s="62">
        <v>48</v>
      </c>
      <c r="B393" s="63">
        <v>1134.5</v>
      </c>
      <c r="C393" s="63">
        <v>24.15</v>
      </c>
      <c r="D393" s="63">
        <v>34.39</v>
      </c>
      <c r="E393">
        <f t="shared" si="14"/>
        <v>36.344926500000014</v>
      </c>
      <c r="F393">
        <f t="shared" si="15"/>
        <v>1.9549265000000133</v>
      </c>
    </row>
    <row r="394" spans="1:6" ht="14.25" customHeight="1" x14ac:dyDescent="0.4">
      <c r="A394" s="62">
        <v>49</v>
      </c>
      <c r="B394" s="63">
        <v>626.32000000000005</v>
      </c>
      <c r="C394" s="63">
        <v>19.079999999999998</v>
      </c>
      <c r="D394" s="63">
        <v>21.61</v>
      </c>
      <c r="E394">
        <f t="shared" si="14"/>
        <v>21.799680400000003</v>
      </c>
      <c r="F394">
        <f t="shared" si="15"/>
        <v>0.18968040000000386</v>
      </c>
    </row>
    <row r="395" spans="1:6" ht="14.25" customHeight="1" x14ac:dyDescent="0.4">
      <c r="A395" s="62">
        <v>50</v>
      </c>
      <c r="B395" s="63">
        <v>1018.78</v>
      </c>
      <c r="C395" s="63">
        <v>20.54</v>
      </c>
      <c r="D395" s="63">
        <v>37.28</v>
      </c>
      <c r="E395">
        <f t="shared" si="14"/>
        <v>35.901973799999993</v>
      </c>
      <c r="F395">
        <f t="shared" si="15"/>
        <v>1.3780262000000079</v>
      </c>
    </row>
    <row r="396" spans="1:6" ht="14.25" customHeight="1" x14ac:dyDescent="0.4">
      <c r="A396" s="62">
        <v>51</v>
      </c>
      <c r="B396" s="63">
        <v>795.66</v>
      </c>
      <c r="C396" s="63">
        <v>18.39</v>
      </c>
      <c r="D396" s="63">
        <v>30.2</v>
      </c>
      <c r="E396">
        <f t="shared" si="14"/>
        <v>29.426953700000002</v>
      </c>
      <c r="F396">
        <f t="shared" si="15"/>
        <v>0.77304629999999719</v>
      </c>
    </row>
    <row r="397" spans="1:6" ht="14.25" customHeight="1" x14ac:dyDescent="0.4">
      <c r="A397" s="62">
        <v>52</v>
      </c>
      <c r="B397" s="63">
        <v>798.52</v>
      </c>
      <c r="C397" s="63">
        <v>26.92</v>
      </c>
      <c r="D397" s="63">
        <v>20.85</v>
      </c>
      <c r="E397">
        <f t="shared" si="14"/>
        <v>19.574934799999994</v>
      </c>
      <c r="F397">
        <f t="shared" si="15"/>
        <v>1.2750652000000073</v>
      </c>
    </row>
    <row r="398" spans="1:6" ht="14.25" customHeight="1" x14ac:dyDescent="0.4">
      <c r="A398" s="62">
        <v>53</v>
      </c>
      <c r="B398" s="63">
        <v>944.07</v>
      </c>
      <c r="C398" s="63">
        <v>29.84</v>
      </c>
      <c r="D398" s="63">
        <v>21.28</v>
      </c>
      <c r="E398">
        <f t="shared" si="14"/>
        <v>22.025698000000006</v>
      </c>
      <c r="F398">
        <f t="shared" si="15"/>
        <v>0.74569800000000441</v>
      </c>
    </row>
    <row r="399" spans="1:6" ht="14.25" customHeight="1" x14ac:dyDescent="0.4">
      <c r="A399" s="62">
        <v>54</v>
      </c>
      <c r="B399" s="63">
        <v>866.03</v>
      </c>
      <c r="C399" s="63">
        <v>25.26</v>
      </c>
      <c r="D399" s="63">
        <v>24.07</v>
      </c>
      <c r="E399">
        <f t="shared" si="14"/>
        <v>24.233931000000005</v>
      </c>
      <c r="F399">
        <f t="shared" si="15"/>
        <v>0.16393100000000516</v>
      </c>
    </row>
    <row r="400" spans="1:6" ht="14.25" customHeight="1" x14ac:dyDescent="0.4">
      <c r="A400" s="62">
        <v>55</v>
      </c>
      <c r="B400" s="63">
        <v>790.42</v>
      </c>
      <c r="C400" s="63">
        <v>20.29</v>
      </c>
      <c r="D400" s="63">
        <v>25.57</v>
      </c>
      <c r="E400">
        <f t="shared" si="14"/>
        <v>26.995755500000001</v>
      </c>
      <c r="F400">
        <f t="shared" si="15"/>
        <v>1.4257555000000011</v>
      </c>
    </row>
    <row r="401" spans="1:6" ht="14.25" customHeight="1" x14ac:dyDescent="0.4">
      <c r="A401" s="62">
        <v>56</v>
      </c>
      <c r="B401" s="63">
        <v>501</v>
      </c>
      <c r="C401" s="63">
        <v>23.63</v>
      </c>
      <c r="D401" s="63">
        <v>11.2</v>
      </c>
      <c r="E401">
        <f t="shared" si="14"/>
        <v>11.435161300000008</v>
      </c>
      <c r="F401">
        <f t="shared" si="15"/>
        <v>0.23516130000000857</v>
      </c>
    </row>
    <row r="402" spans="1:6" ht="14.25" customHeight="1" x14ac:dyDescent="0.4">
      <c r="A402" s="62">
        <v>57</v>
      </c>
      <c r="B402" s="63">
        <v>564.58000000000004</v>
      </c>
      <c r="C402" s="63">
        <v>28.04</v>
      </c>
      <c r="D402" s="63">
        <v>9.83</v>
      </c>
      <c r="E402">
        <f t="shared" si="14"/>
        <v>8.8431227999999962</v>
      </c>
      <c r="F402">
        <f t="shared" si="15"/>
        <v>0.9868772000000039</v>
      </c>
    </row>
    <row r="403" spans="1:6" ht="14.25" customHeight="1" x14ac:dyDescent="0.4">
      <c r="A403" s="62">
        <v>58</v>
      </c>
      <c r="B403" s="63">
        <v>996.58</v>
      </c>
      <c r="C403" s="63">
        <v>33.99</v>
      </c>
      <c r="D403" s="63">
        <v>18.62</v>
      </c>
      <c r="E403">
        <f t="shared" si="14"/>
        <v>19.291567300000004</v>
      </c>
      <c r="F403">
        <f t="shared" si="15"/>
        <v>0.67156730000000309</v>
      </c>
    </row>
    <row r="404" spans="1:6" ht="14.25" customHeight="1" x14ac:dyDescent="0.4">
      <c r="A404" s="62">
        <v>59</v>
      </c>
      <c r="B404" s="63">
        <v>867.04</v>
      </c>
      <c r="C404" s="63">
        <v>34.869999999999997</v>
      </c>
      <c r="D404" s="63">
        <v>13.55</v>
      </c>
      <c r="E404">
        <f t="shared" si="14"/>
        <v>13.045424900000008</v>
      </c>
      <c r="F404">
        <f t="shared" si="15"/>
        <v>0.50457509999999317</v>
      </c>
    </row>
    <row r="405" spans="1:6" ht="14.25" customHeight="1" x14ac:dyDescent="0.4">
      <c r="A405" s="62">
        <v>60</v>
      </c>
      <c r="B405" s="63">
        <v>987.31</v>
      </c>
      <c r="C405" s="63">
        <v>22.11</v>
      </c>
      <c r="D405" s="63">
        <v>32.1</v>
      </c>
      <c r="E405">
        <f t="shared" si="14"/>
        <v>32.799832899999998</v>
      </c>
      <c r="F405">
        <f t="shared" si="15"/>
        <v>0.69983289999999698</v>
      </c>
    </row>
    <row r="406" spans="1:6" ht="14.25" customHeight="1" x14ac:dyDescent="0.4">
      <c r="A406" s="62">
        <v>61</v>
      </c>
      <c r="B406" s="63">
        <v>1168.83</v>
      </c>
      <c r="C406" s="63">
        <v>18.18</v>
      </c>
      <c r="D406" s="63">
        <v>44.05</v>
      </c>
      <c r="E406">
        <f t="shared" si="14"/>
        <v>44.7036242</v>
      </c>
      <c r="F406">
        <f t="shared" si="15"/>
        <v>0.65362420000000299</v>
      </c>
    </row>
    <row r="407" spans="1:6" ht="14.25" customHeight="1" x14ac:dyDescent="0.4">
      <c r="A407" s="62">
        <v>62</v>
      </c>
      <c r="B407" s="63">
        <v>978.04</v>
      </c>
      <c r="C407" s="63">
        <v>32.119999999999997</v>
      </c>
      <c r="D407" s="63">
        <v>20.64</v>
      </c>
      <c r="E407">
        <f t="shared" si="14"/>
        <v>20.729852400000006</v>
      </c>
      <c r="F407">
        <f t="shared" si="15"/>
        <v>8.9852400000005161E-2</v>
      </c>
    </row>
    <row r="408" spans="1:6" ht="14.25" customHeight="1" x14ac:dyDescent="0.4">
      <c r="A408" s="62">
        <v>63</v>
      </c>
      <c r="B408" s="63">
        <v>537.19000000000005</v>
      </c>
      <c r="C408" s="63">
        <v>33.75</v>
      </c>
      <c r="D408" s="63">
        <v>0.69</v>
      </c>
      <c r="E408">
        <f t="shared" si="14"/>
        <v>1.0677756999999986</v>
      </c>
      <c r="F408">
        <f t="shared" si="15"/>
        <v>0.3777756999999986</v>
      </c>
    </row>
    <row r="409" spans="1:6" ht="14.25" customHeight="1" x14ac:dyDescent="0.4">
      <c r="A409" s="62">
        <v>64</v>
      </c>
      <c r="B409" s="63">
        <v>716.2</v>
      </c>
      <c r="C409" s="63">
        <v>25.8</v>
      </c>
      <c r="D409" s="63">
        <v>18.579999999999998</v>
      </c>
      <c r="E409">
        <f t="shared" si="14"/>
        <v>17.567794000000003</v>
      </c>
      <c r="F409">
        <f t="shared" si="15"/>
        <v>1.0122059999999955</v>
      </c>
    </row>
    <row r="410" spans="1:6" ht="14.25" customHeight="1" x14ac:dyDescent="0.4">
      <c r="A410" s="62">
        <v>65</v>
      </c>
      <c r="B410" s="63">
        <v>914.82</v>
      </c>
      <c r="C410" s="63">
        <v>31.11</v>
      </c>
      <c r="D410" s="63">
        <v>19.52</v>
      </c>
      <c r="E410">
        <f t="shared" si="14"/>
        <v>19.363525700000004</v>
      </c>
      <c r="F410">
        <f t="shared" si="15"/>
        <v>0.15647429999999574</v>
      </c>
    </row>
    <row r="411" spans="1:6" ht="14.25" customHeight="1" x14ac:dyDescent="0.4">
      <c r="A411" s="62">
        <v>66</v>
      </c>
      <c r="B411" s="63">
        <v>664.58</v>
      </c>
      <c r="C411" s="63">
        <v>32.729999999999997</v>
      </c>
      <c r="D411" s="63">
        <v>9.92</v>
      </c>
      <c r="E411">
        <f t="shared" ref="E411:E415" si="16">18.8663+0.04028*B411-1.16849*C411</f>
        <v>7.3909047000000072</v>
      </c>
      <c r="F411">
        <f t="shared" ref="F411:F415" si="17">ABS(D411-E411)</f>
        <v>2.5290952999999927</v>
      </c>
    </row>
    <row r="412" spans="1:6" ht="14.25" customHeight="1" x14ac:dyDescent="0.4">
      <c r="A412" s="62">
        <v>67</v>
      </c>
      <c r="B412" s="63">
        <v>1175.48</v>
      </c>
      <c r="C412" s="63">
        <v>28.36</v>
      </c>
      <c r="D412" s="63">
        <v>32.65</v>
      </c>
      <c r="E412">
        <f t="shared" si="16"/>
        <v>33.07625800000001</v>
      </c>
      <c r="F412">
        <f t="shared" si="17"/>
        <v>0.42625800000001135</v>
      </c>
    </row>
    <row r="413" spans="1:6" ht="14.25" customHeight="1" x14ac:dyDescent="0.4">
      <c r="A413" s="62">
        <v>68</v>
      </c>
      <c r="B413" s="63">
        <v>1161.53</v>
      </c>
      <c r="C413" s="63">
        <v>32.83</v>
      </c>
      <c r="D413" s="63">
        <v>26.72</v>
      </c>
      <c r="E413">
        <f t="shared" si="16"/>
        <v>27.291201700000002</v>
      </c>
      <c r="F413">
        <f t="shared" si="17"/>
        <v>0.57120170000000314</v>
      </c>
    </row>
    <row r="414" spans="1:6" ht="14.25" customHeight="1" x14ac:dyDescent="0.4">
      <c r="A414" s="62">
        <v>69</v>
      </c>
      <c r="B414" s="63">
        <v>1093.8800000000001</v>
      </c>
      <c r="C414" s="63">
        <v>18.41</v>
      </c>
      <c r="D414" s="63">
        <v>40.11</v>
      </c>
      <c r="E414">
        <f t="shared" si="16"/>
        <v>41.415885500000002</v>
      </c>
      <c r="F414">
        <f t="shared" si="17"/>
        <v>1.3058855000000023</v>
      </c>
    </row>
    <row r="415" spans="1:6" ht="14.25" customHeight="1" x14ac:dyDescent="0.4">
      <c r="A415" s="62">
        <v>70</v>
      </c>
      <c r="B415" s="63">
        <v>830.63</v>
      </c>
      <c r="C415" s="63">
        <v>22.62</v>
      </c>
      <c r="D415" s="63">
        <v>26.12</v>
      </c>
      <c r="E415">
        <f t="shared" si="16"/>
        <v>25.892832599999995</v>
      </c>
      <c r="F415">
        <f t="shared" si="17"/>
        <v>0.22716740000000613</v>
      </c>
    </row>
    <row r="416" spans="1:6" ht="14.25" customHeight="1" x14ac:dyDescent="0.35"/>
    <row r="417" spans="1:7" ht="14.25" customHeight="1" x14ac:dyDescent="0.35"/>
    <row r="418" spans="1:7" ht="14.25" customHeight="1" x14ac:dyDescent="0.35"/>
    <row r="419" spans="1:7" ht="14.25" customHeight="1" x14ac:dyDescent="0.35">
      <c r="A419" s="67" t="s">
        <v>57</v>
      </c>
    </row>
    <row r="420" spans="1:7" ht="14.25" customHeight="1" x14ac:dyDescent="0.35"/>
    <row r="421" spans="1:7" ht="14.25" customHeight="1" x14ac:dyDescent="0.4">
      <c r="A421" s="60" t="s">
        <v>7</v>
      </c>
      <c r="B421" s="58" t="s">
        <v>8</v>
      </c>
      <c r="C421" s="58" t="s">
        <v>9</v>
      </c>
      <c r="D421" s="58" t="s">
        <v>10</v>
      </c>
      <c r="E421" s="65" t="s">
        <v>54</v>
      </c>
      <c r="F421" s="65" t="s">
        <v>55</v>
      </c>
      <c r="G421" s="66" t="s">
        <v>15</v>
      </c>
    </row>
    <row r="422" spans="1:7" ht="14.25" customHeight="1" x14ac:dyDescent="0.4">
      <c r="A422" s="62">
        <v>1</v>
      </c>
      <c r="B422" s="63">
        <v>553.41999999999996</v>
      </c>
      <c r="C422" s="63">
        <v>19.18</v>
      </c>
      <c r="D422" s="64">
        <v>16.79</v>
      </c>
      <c r="E422">
        <f>18.6947+0.04119*B422-1.19176*C422</f>
        <v>18.632113000000004</v>
      </c>
      <c r="F422">
        <f>ABS(D422-E422)</f>
        <v>1.8421130000000048</v>
      </c>
      <c r="G422">
        <f>AVERAGE(F422:F481)</f>
        <v>1.255454918333335</v>
      </c>
    </row>
    <row r="423" spans="1:7" ht="14.25" customHeight="1" x14ac:dyDescent="0.4">
      <c r="A423" s="62">
        <v>2</v>
      </c>
      <c r="B423" s="63">
        <v>1045.94</v>
      </c>
      <c r="C423" s="63">
        <v>24.07</v>
      </c>
      <c r="D423" s="63">
        <v>34.090000000000003</v>
      </c>
      <c r="E423">
        <f t="shared" ref="E423:E481" si="18">18.6947+0.04119*B423-1.19176*C423</f>
        <v>33.09130540000001</v>
      </c>
      <c r="F423">
        <f t="shared" ref="F423:F481" si="19">ABS(D423-E423)</f>
        <v>0.99869459999999322</v>
      </c>
    </row>
    <row r="424" spans="1:7" ht="14.25" customHeight="1" x14ac:dyDescent="0.4">
      <c r="A424" s="62">
        <v>3</v>
      </c>
      <c r="B424" s="63">
        <v>806.89</v>
      </c>
      <c r="C424" s="63">
        <v>31.82</v>
      </c>
      <c r="D424" s="63">
        <v>15.9</v>
      </c>
      <c r="E424">
        <f t="shared" si="18"/>
        <v>14.008695899999992</v>
      </c>
      <c r="F424">
        <f t="shared" si="19"/>
        <v>1.8913041000000081</v>
      </c>
    </row>
    <row r="425" spans="1:7" ht="14.25" customHeight="1" x14ac:dyDescent="0.4">
      <c r="A425" s="62">
        <v>4</v>
      </c>
      <c r="B425" s="63">
        <v>1006.43</v>
      </c>
      <c r="C425" s="63">
        <v>25.27</v>
      </c>
      <c r="D425" s="63">
        <v>31.4</v>
      </c>
      <c r="E425">
        <f t="shared" si="18"/>
        <v>30.033776499999991</v>
      </c>
      <c r="F425">
        <f t="shared" si="19"/>
        <v>1.3662235000000074</v>
      </c>
    </row>
    <row r="426" spans="1:7" ht="14.25" customHeight="1" x14ac:dyDescent="0.4">
      <c r="A426" s="62">
        <v>5</v>
      </c>
      <c r="B426" s="63">
        <v>1184.5899999999999</v>
      </c>
      <c r="C426" s="63">
        <v>28.2</v>
      </c>
      <c r="D426" s="63">
        <v>32.15</v>
      </c>
      <c r="E426">
        <f t="shared" si="18"/>
        <v>33.880330099999995</v>
      </c>
      <c r="F426">
        <f t="shared" si="19"/>
        <v>1.7303300999999962</v>
      </c>
    </row>
    <row r="427" spans="1:7" ht="14.25" customHeight="1" x14ac:dyDescent="0.4">
      <c r="A427" s="62">
        <v>6</v>
      </c>
      <c r="B427" s="63">
        <v>876.95</v>
      </c>
      <c r="C427" s="63">
        <v>30.38</v>
      </c>
      <c r="D427" s="63">
        <v>19.239999999999998</v>
      </c>
      <c r="E427">
        <f t="shared" si="18"/>
        <v>18.610601700000004</v>
      </c>
      <c r="F427">
        <f t="shared" si="19"/>
        <v>0.62939829999999475</v>
      </c>
    </row>
    <row r="428" spans="1:7" ht="14.25" customHeight="1" x14ac:dyDescent="0.4">
      <c r="A428" s="62">
        <v>7</v>
      </c>
      <c r="B428" s="63">
        <v>850.78</v>
      </c>
      <c r="C428" s="63">
        <v>31.96</v>
      </c>
      <c r="D428" s="63">
        <v>18.47</v>
      </c>
      <c r="E428">
        <f t="shared" si="18"/>
        <v>15.649678600000001</v>
      </c>
      <c r="F428">
        <f t="shared" si="19"/>
        <v>2.8203213999999974</v>
      </c>
    </row>
    <row r="429" spans="1:7" ht="14.25" customHeight="1" x14ac:dyDescent="0.4">
      <c r="A429" s="62">
        <v>8</v>
      </c>
      <c r="B429" s="63">
        <v>550.44000000000005</v>
      </c>
      <c r="C429" s="63">
        <v>30.93</v>
      </c>
      <c r="D429" s="63">
        <v>2.66</v>
      </c>
      <c r="E429">
        <f t="shared" si="18"/>
        <v>4.5061868000000089</v>
      </c>
      <c r="F429">
        <f t="shared" si="19"/>
        <v>1.8461868000000088</v>
      </c>
    </row>
    <row r="430" spans="1:7" ht="14.25" customHeight="1" x14ac:dyDescent="0.4">
      <c r="A430" s="62">
        <v>9</v>
      </c>
      <c r="B430" s="63">
        <v>687.91</v>
      </c>
      <c r="C430" s="63">
        <v>18.12</v>
      </c>
      <c r="D430" s="63">
        <v>26.49</v>
      </c>
      <c r="E430">
        <f t="shared" si="18"/>
        <v>25.435021699999993</v>
      </c>
      <c r="F430">
        <f t="shared" si="19"/>
        <v>1.0549783000000055</v>
      </c>
    </row>
    <row r="431" spans="1:7" ht="14.25" customHeight="1" x14ac:dyDescent="0.4">
      <c r="A431" s="62">
        <v>10</v>
      </c>
      <c r="B431" s="63">
        <v>849.92</v>
      </c>
      <c r="C431" s="63">
        <v>25.14</v>
      </c>
      <c r="D431" s="63">
        <v>25.49</v>
      </c>
      <c r="E431">
        <f t="shared" si="18"/>
        <v>23.742058400000001</v>
      </c>
      <c r="F431">
        <f t="shared" si="19"/>
        <v>1.7479415999999972</v>
      </c>
    </row>
    <row r="432" spans="1:7" ht="14.25" customHeight="1" x14ac:dyDescent="0.4">
      <c r="A432" s="62">
        <v>11</v>
      </c>
      <c r="B432" s="63">
        <v>975.46</v>
      </c>
      <c r="C432" s="63">
        <v>25.87</v>
      </c>
      <c r="D432" s="63">
        <v>26.93</v>
      </c>
      <c r="E432">
        <f t="shared" si="18"/>
        <v>28.043066200000005</v>
      </c>
      <c r="F432">
        <f t="shared" si="19"/>
        <v>1.1130662000000058</v>
      </c>
    </row>
    <row r="433" spans="1:6" ht="14.25" customHeight="1" x14ac:dyDescent="0.4">
      <c r="A433" s="62">
        <v>12</v>
      </c>
      <c r="B433" s="63">
        <v>1062.6199999999999</v>
      </c>
      <c r="C433" s="63">
        <v>18.940000000000001</v>
      </c>
      <c r="D433" s="63">
        <v>40.65</v>
      </c>
      <c r="E433">
        <f t="shared" si="18"/>
        <v>39.89208339999999</v>
      </c>
      <c r="F433">
        <f t="shared" si="19"/>
        <v>0.7579166000000086</v>
      </c>
    </row>
    <row r="434" spans="1:6" ht="14.25" customHeight="1" x14ac:dyDescent="0.4">
      <c r="A434" s="62">
        <v>13</v>
      </c>
      <c r="B434" s="63">
        <v>766.66</v>
      </c>
      <c r="C434" s="63">
        <v>27.2</v>
      </c>
      <c r="D434" s="63">
        <v>16.41</v>
      </c>
      <c r="E434">
        <f t="shared" si="18"/>
        <v>17.857553399999993</v>
      </c>
      <c r="F434">
        <f t="shared" si="19"/>
        <v>1.4475533999999932</v>
      </c>
    </row>
    <row r="435" spans="1:6" ht="14.25" customHeight="1" x14ac:dyDescent="0.4">
      <c r="A435" s="62">
        <v>14</v>
      </c>
      <c r="B435" s="63">
        <v>546.16</v>
      </c>
      <c r="C435" s="63">
        <v>28.33</v>
      </c>
      <c r="D435" s="63">
        <v>6.63</v>
      </c>
      <c r="E435">
        <f t="shared" si="18"/>
        <v>7.4284696000000068</v>
      </c>
      <c r="F435">
        <f t="shared" si="19"/>
        <v>0.79846960000000688</v>
      </c>
    </row>
    <row r="436" spans="1:6" ht="14.25" customHeight="1" x14ac:dyDescent="0.4">
      <c r="A436" s="62">
        <v>15</v>
      </c>
      <c r="B436" s="63">
        <v>701.7</v>
      </c>
      <c r="C436" s="63">
        <v>32.08</v>
      </c>
      <c r="D436" s="63">
        <v>8.34</v>
      </c>
      <c r="E436">
        <f t="shared" si="18"/>
        <v>9.3660622000000089</v>
      </c>
      <c r="F436">
        <f t="shared" si="19"/>
        <v>1.026062200000009</v>
      </c>
    </row>
    <row r="437" spans="1:6" ht="14.25" customHeight="1" x14ac:dyDescent="0.4">
      <c r="A437" s="62">
        <v>16</v>
      </c>
      <c r="B437" s="63">
        <v>1136.72</v>
      </c>
      <c r="C437" s="63">
        <v>34.01</v>
      </c>
      <c r="D437" s="63">
        <v>24.94</v>
      </c>
      <c r="E437">
        <f t="shared" si="18"/>
        <v>24.984439200000011</v>
      </c>
      <c r="F437">
        <f t="shared" si="19"/>
        <v>4.4439200000010004E-2</v>
      </c>
    </row>
    <row r="438" spans="1:6" ht="14.25" customHeight="1" x14ac:dyDescent="0.4">
      <c r="A438" s="62">
        <v>17</v>
      </c>
      <c r="B438" s="63">
        <v>649.37</v>
      </c>
      <c r="C438" s="63">
        <v>20.18</v>
      </c>
      <c r="D438" s="63">
        <v>21.62</v>
      </c>
      <c r="E438">
        <f t="shared" si="18"/>
        <v>21.392533499999999</v>
      </c>
      <c r="F438">
        <f t="shared" si="19"/>
        <v>0.22746650000000201</v>
      </c>
    </row>
    <row r="439" spans="1:6" ht="14.25" customHeight="1" x14ac:dyDescent="0.4">
      <c r="A439" s="62">
        <v>18</v>
      </c>
      <c r="B439" s="63">
        <v>816.49</v>
      </c>
      <c r="C439" s="63">
        <v>21.92</v>
      </c>
      <c r="D439" s="63">
        <v>27.79</v>
      </c>
      <c r="E439">
        <f t="shared" si="18"/>
        <v>26.202543899999995</v>
      </c>
      <c r="F439">
        <f t="shared" si="19"/>
        <v>1.5874561000000043</v>
      </c>
    </row>
    <row r="440" spans="1:6" ht="14.25" customHeight="1" x14ac:dyDescent="0.4">
      <c r="A440" s="62">
        <v>19</v>
      </c>
      <c r="B440" s="63">
        <v>1151.8399999999999</v>
      </c>
      <c r="C440" s="63">
        <v>29.21</v>
      </c>
      <c r="D440" s="63">
        <v>29.62</v>
      </c>
      <c r="E440">
        <f t="shared" si="18"/>
        <v>31.327679999999987</v>
      </c>
      <c r="F440">
        <f t="shared" si="19"/>
        <v>1.7076799999999857</v>
      </c>
    </row>
    <row r="441" spans="1:6" ht="14.25" customHeight="1" x14ac:dyDescent="0.4">
      <c r="A441" s="62">
        <v>20</v>
      </c>
      <c r="B441" s="63">
        <v>517.42999999999995</v>
      </c>
      <c r="C441" s="63">
        <v>20.25</v>
      </c>
      <c r="D441" s="63">
        <v>16.2</v>
      </c>
      <c r="E441">
        <f t="shared" si="18"/>
        <v>15.874501699999996</v>
      </c>
      <c r="F441">
        <f t="shared" si="19"/>
        <v>0.32549830000000313</v>
      </c>
    </row>
    <row r="442" spans="1:6" ht="14.25" customHeight="1" x14ac:dyDescent="0.4">
      <c r="A442" s="62">
        <v>21</v>
      </c>
      <c r="B442" s="63">
        <v>920.38</v>
      </c>
      <c r="C442" s="63">
        <v>21.81</v>
      </c>
      <c r="D442" s="63">
        <v>32.090000000000003</v>
      </c>
      <c r="E442">
        <f t="shared" si="18"/>
        <v>30.612866599999997</v>
      </c>
      <c r="F442">
        <f t="shared" si="19"/>
        <v>1.4771334000000067</v>
      </c>
    </row>
    <row r="443" spans="1:6" ht="14.25" customHeight="1" x14ac:dyDescent="0.4">
      <c r="A443" s="62">
        <v>22</v>
      </c>
      <c r="B443" s="63">
        <v>1165.0899999999999</v>
      </c>
      <c r="C443" s="63">
        <v>27.77</v>
      </c>
      <c r="D443" s="63">
        <v>34.119999999999997</v>
      </c>
      <c r="E443">
        <f t="shared" si="18"/>
        <v>33.589581899999999</v>
      </c>
      <c r="F443">
        <f t="shared" si="19"/>
        <v>0.53041809999999856</v>
      </c>
    </row>
    <row r="444" spans="1:6" ht="14.25" customHeight="1" x14ac:dyDescent="0.4">
      <c r="A444" s="62">
        <v>23</v>
      </c>
      <c r="B444" s="63">
        <v>661.21</v>
      </c>
      <c r="C444" s="63">
        <v>20.88</v>
      </c>
      <c r="D444" s="63">
        <v>19.399999999999999</v>
      </c>
      <c r="E444">
        <f t="shared" si="18"/>
        <v>21.045991100000002</v>
      </c>
      <c r="F444">
        <f t="shared" si="19"/>
        <v>1.6459911000000034</v>
      </c>
    </row>
    <row r="445" spans="1:6" ht="14.25" customHeight="1" x14ac:dyDescent="0.4">
      <c r="A445" s="62">
        <v>24</v>
      </c>
      <c r="B445" s="63">
        <v>883.94</v>
      </c>
      <c r="C445" s="63">
        <v>31.3</v>
      </c>
      <c r="D445" s="63">
        <v>18.8</v>
      </c>
      <c r="E445">
        <f t="shared" si="18"/>
        <v>17.802100600000003</v>
      </c>
      <c r="F445">
        <f t="shared" si="19"/>
        <v>0.99789939999999788</v>
      </c>
    </row>
    <row r="446" spans="1:6" ht="14.25" customHeight="1" x14ac:dyDescent="0.4">
      <c r="A446" s="62">
        <v>25</v>
      </c>
      <c r="B446" s="63">
        <v>1136.3900000000001</v>
      </c>
      <c r="C446" s="63">
        <v>32.57</v>
      </c>
      <c r="D446" s="63">
        <v>25.66</v>
      </c>
      <c r="E446">
        <f t="shared" si="18"/>
        <v>26.686980900000002</v>
      </c>
      <c r="F446">
        <f t="shared" si="19"/>
        <v>1.0269809000000016</v>
      </c>
    </row>
    <row r="447" spans="1:6" ht="14.25" customHeight="1" x14ac:dyDescent="0.4">
      <c r="A447" s="62">
        <v>26</v>
      </c>
      <c r="B447" s="63">
        <v>593.22</v>
      </c>
      <c r="C447" s="63">
        <v>18.57</v>
      </c>
      <c r="D447" s="63">
        <v>22.02</v>
      </c>
      <c r="E447">
        <f t="shared" si="18"/>
        <v>20.9984486</v>
      </c>
      <c r="F447">
        <f t="shared" si="19"/>
        <v>1.0215513999999999</v>
      </c>
    </row>
    <row r="448" spans="1:6" ht="14.25" customHeight="1" x14ac:dyDescent="0.4">
      <c r="A448" s="62">
        <v>27</v>
      </c>
      <c r="B448" s="63">
        <v>866.39</v>
      </c>
      <c r="C448" s="63">
        <v>27.05</v>
      </c>
      <c r="D448" s="63">
        <v>22.64</v>
      </c>
      <c r="E448">
        <f t="shared" si="18"/>
        <v>22.144196099999995</v>
      </c>
      <c r="F448">
        <f t="shared" si="19"/>
        <v>0.49580390000000563</v>
      </c>
    </row>
    <row r="449" spans="1:6" ht="14.25" customHeight="1" x14ac:dyDescent="0.4">
      <c r="A449" s="62">
        <v>28</v>
      </c>
      <c r="B449" s="63">
        <v>1025.29</v>
      </c>
      <c r="C449" s="63">
        <v>31.55</v>
      </c>
      <c r="D449" s="63">
        <v>24.98</v>
      </c>
      <c r="E449">
        <f t="shared" si="18"/>
        <v>23.326367099999992</v>
      </c>
      <c r="F449">
        <f t="shared" si="19"/>
        <v>1.6536329000000087</v>
      </c>
    </row>
    <row r="450" spans="1:6" ht="14.25" customHeight="1" x14ac:dyDescent="0.4">
      <c r="A450" s="62">
        <v>29</v>
      </c>
      <c r="B450" s="63">
        <v>968.31</v>
      </c>
      <c r="C450" s="63">
        <v>34.58</v>
      </c>
      <c r="D450" s="63">
        <v>17.41</v>
      </c>
      <c r="E450">
        <f t="shared" si="18"/>
        <v>17.368328099999999</v>
      </c>
      <c r="F450">
        <f t="shared" si="19"/>
        <v>4.1671900000000761E-2</v>
      </c>
    </row>
    <row r="451" spans="1:6" ht="14.25" customHeight="1" x14ac:dyDescent="0.4">
      <c r="A451" s="62">
        <v>30</v>
      </c>
      <c r="B451" s="63">
        <v>827.43</v>
      </c>
      <c r="C451" s="63">
        <v>22.66</v>
      </c>
      <c r="D451" s="63">
        <v>23.12</v>
      </c>
      <c r="E451">
        <f t="shared" si="18"/>
        <v>25.771260099999996</v>
      </c>
      <c r="F451">
        <f t="shared" si="19"/>
        <v>2.6512600999999947</v>
      </c>
    </row>
    <row r="452" spans="1:6" ht="14.25" customHeight="1" x14ac:dyDescent="0.4">
      <c r="A452" s="62">
        <v>31</v>
      </c>
      <c r="B452" s="63">
        <v>643.39</v>
      </c>
      <c r="C452" s="63">
        <v>20.87</v>
      </c>
      <c r="D452" s="63">
        <v>18.63</v>
      </c>
      <c r="E452">
        <f t="shared" si="18"/>
        <v>20.323902900000004</v>
      </c>
      <c r="F452">
        <f t="shared" si="19"/>
        <v>1.6939029000000048</v>
      </c>
    </row>
    <row r="453" spans="1:6" ht="14.25" customHeight="1" x14ac:dyDescent="0.4">
      <c r="A453" s="62">
        <v>32</v>
      </c>
      <c r="B453" s="63">
        <v>843.54</v>
      </c>
      <c r="C453" s="63">
        <v>32.9</v>
      </c>
      <c r="D453" s="63">
        <v>15.35</v>
      </c>
      <c r="E453">
        <f t="shared" si="18"/>
        <v>14.231208599999995</v>
      </c>
      <c r="F453">
        <f t="shared" si="19"/>
        <v>1.1187914000000045</v>
      </c>
    </row>
    <row r="454" spans="1:6" ht="14.25" customHeight="1" x14ac:dyDescent="0.4">
      <c r="A454" s="62">
        <v>33</v>
      </c>
      <c r="B454" s="63">
        <v>760.67</v>
      </c>
      <c r="C454" s="63">
        <v>33.46</v>
      </c>
      <c r="D454" s="63">
        <v>9.89</v>
      </c>
      <c r="E454">
        <f t="shared" si="18"/>
        <v>10.150407699999995</v>
      </c>
      <c r="F454">
        <f t="shared" si="19"/>
        <v>0.26040769999999469</v>
      </c>
    </row>
    <row r="455" spans="1:6" ht="14.25" customHeight="1" x14ac:dyDescent="0.4">
      <c r="A455" s="62">
        <v>34</v>
      </c>
      <c r="B455" s="63">
        <v>834.18</v>
      </c>
      <c r="C455" s="63">
        <v>21.36</v>
      </c>
      <c r="D455" s="63">
        <v>29.44</v>
      </c>
      <c r="E455">
        <f t="shared" si="18"/>
        <v>27.598580599999991</v>
      </c>
      <c r="F455">
        <f t="shared" si="19"/>
        <v>1.8414194000000101</v>
      </c>
    </row>
    <row r="456" spans="1:6" ht="14.25" customHeight="1" x14ac:dyDescent="0.4">
      <c r="A456" s="62">
        <v>35</v>
      </c>
      <c r="B456" s="63">
        <v>756.12</v>
      </c>
      <c r="C456" s="63">
        <v>25.51</v>
      </c>
      <c r="D456" s="63">
        <v>20.05</v>
      </c>
      <c r="E456">
        <f t="shared" si="18"/>
        <v>19.437485199999998</v>
      </c>
      <c r="F456">
        <f t="shared" si="19"/>
        <v>0.61251480000000313</v>
      </c>
    </row>
    <row r="457" spans="1:6" ht="14.25" customHeight="1" x14ac:dyDescent="0.4">
      <c r="A457" s="62">
        <v>36</v>
      </c>
      <c r="B457" s="63">
        <v>1086.54</v>
      </c>
      <c r="C457" s="63">
        <v>30.23</v>
      </c>
      <c r="D457" s="63">
        <v>26.07</v>
      </c>
      <c r="E457">
        <f t="shared" si="18"/>
        <v>27.422377800000007</v>
      </c>
      <c r="F457">
        <f t="shared" si="19"/>
        <v>1.3523778000000064</v>
      </c>
    </row>
    <row r="458" spans="1:6" ht="14.25" customHeight="1" x14ac:dyDescent="0.4">
      <c r="A458" s="62">
        <v>37</v>
      </c>
      <c r="B458" s="63">
        <v>1038.05</v>
      </c>
      <c r="C458" s="63">
        <v>32.369999999999997</v>
      </c>
      <c r="D458" s="63">
        <v>24.3</v>
      </c>
      <c r="E458">
        <f t="shared" si="18"/>
        <v>22.874708300000002</v>
      </c>
      <c r="F458">
        <f t="shared" si="19"/>
        <v>1.4252916999999989</v>
      </c>
    </row>
    <row r="459" spans="1:6" ht="14.25" customHeight="1" x14ac:dyDescent="0.4">
      <c r="A459" s="62">
        <v>38</v>
      </c>
      <c r="B459" s="63">
        <v>719.8</v>
      </c>
      <c r="C459" s="63">
        <v>20.86</v>
      </c>
      <c r="D459" s="63">
        <v>22.55</v>
      </c>
      <c r="E459">
        <f t="shared" si="18"/>
        <v>23.483148399999997</v>
      </c>
      <c r="F459">
        <f t="shared" si="19"/>
        <v>0.93314839999999677</v>
      </c>
    </row>
    <row r="460" spans="1:6" ht="14.25" customHeight="1" x14ac:dyDescent="0.4">
      <c r="A460" s="62">
        <v>39</v>
      </c>
      <c r="B460" s="63">
        <v>900.84</v>
      </c>
      <c r="C460" s="63">
        <v>29.3</v>
      </c>
      <c r="D460" s="63">
        <v>17.79</v>
      </c>
      <c r="E460">
        <f t="shared" si="18"/>
        <v>20.881731600000002</v>
      </c>
      <c r="F460">
        <f t="shared" si="19"/>
        <v>3.0917316000000028</v>
      </c>
    </row>
    <row r="461" spans="1:6" ht="14.25" customHeight="1" x14ac:dyDescent="0.4">
      <c r="A461" s="62">
        <v>40</v>
      </c>
      <c r="B461" s="63">
        <v>693.23</v>
      </c>
      <c r="C461" s="63">
        <v>31.73</v>
      </c>
      <c r="D461" s="63">
        <v>12.75</v>
      </c>
      <c r="E461">
        <f t="shared" si="18"/>
        <v>9.4342988999999946</v>
      </c>
      <c r="F461">
        <f t="shared" si="19"/>
        <v>3.3157011000000054</v>
      </c>
    </row>
    <row r="462" spans="1:6" ht="14.25" customHeight="1" x14ac:dyDescent="0.4">
      <c r="A462" s="62">
        <v>41</v>
      </c>
      <c r="B462" s="63">
        <v>816.99</v>
      </c>
      <c r="C462" s="63">
        <v>27.35</v>
      </c>
      <c r="D462" s="63">
        <v>17</v>
      </c>
      <c r="E462">
        <f t="shared" si="18"/>
        <v>19.751882099999996</v>
      </c>
      <c r="F462">
        <f t="shared" si="19"/>
        <v>2.751882099999996</v>
      </c>
    </row>
    <row r="463" spans="1:6" ht="14.25" customHeight="1" x14ac:dyDescent="0.4">
      <c r="A463" s="62">
        <v>42</v>
      </c>
      <c r="B463" s="63">
        <v>747.08</v>
      </c>
      <c r="C463" s="63">
        <v>20.8</v>
      </c>
      <c r="D463" s="63">
        <v>25.88</v>
      </c>
      <c r="E463">
        <f t="shared" si="18"/>
        <v>24.678317200000006</v>
      </c>
      <c r="F463">
        <f t="shared" si="19"/>
        <v>1.2016827999999933</v>
      </c>
    </row>
    <row r="464" spans="1:6" ht="14.25" customHeight="1" x14ac:dyDescent="0.4">
      <c r="A464" s="62">
        <v>43</v>
      </c>
      <c r="B464" s="63">
        <v>960.18</v>
      </c>
      <c r="C464" s="63">
        <v>18.600000000000001</v>
      </c>
      <c r="D464" s="63">
        <v>37.49</v>
      </c>
      <c r="E464">
        <f t="shared" si="18"/>
        <v>36.077778199999997</v>
      </c>
      <c r="F464">
        <f t="shared" si="19"/>
        <v>1.4122218000000046</v>
      </c>
    </row>
    <row r="465" spans="1:6" ht="14.25" customHeight="1" x14ac:dyDescent="0.4">
      <c r="A465" s="62">
        <v>44</v>
      </c>
      <c r="B465" s="63">
        <v>759.25</v>
      </c>
      <c r="C465" s="63">
        <v>22.79</v>
      </c>
      <c r="D465" s="63">
        <v>23.25</v>
      </c>
      <c r="E465">
        <f t="shared" si="18"/>
        <v>22.807997100000001</v>
      </c>
      <c r="F465">
        <f t="shared" si="19"/>
        <v>0.44200289999999853</v>
      </c>
    </row>
    <row r="466" spans="1:6" ht="14.25" customHeight="1" x14ac:dyDescent="0.4">
      <c r="A466" s="62">
        <v>45</v>
      </c>
      <c r="B466" s="63">
        <v>821.37</v>
      </c>
      <c r="C466" s="63">
        <v>31.73</v>
      </c>
      <c r="D466" s="63">
        <v>12.25</v>
      </c>
      <c r="E466">
        <f t="shared" si="18"/>
        <v>14.712385500000003</v>
      </c>
      <c r="F466">
        <f t="shared" si="19"/>
        <v>2.4623855000000034</v>
      </c>
    </row>
    <row r="467" spans="1:6" ht="14.25" customHeight="1" x14ac:dyDescent="0.4">
      <c r="A467" s="62">
        <v>46</v>
      </c>
      <c r="B467" s="63">
        <v>1003.53</v>
      </c>
      <c r="C467" s="63">
        <v>18.760000000000002</v>
      </c>
      <c r="D467" s="63">
        <v>39.15</v>
      </c>
      <c r="E467">
        <f t="shared" si="18"/>
        <v>37.672683099999986</v>
      </c>
      <c r="F467">
        <f t="shared" si="19"/>
        <v>1.4773169000000124</v>
      </c>
    </row>
    <row r="468" spans="1:6" ht="14.25" customHeight="1" x14ac:dyDescent="0.4">
      <c r="A468" s="62">
        <v>47</v>
      </c>
      <c r="B468" s="63">
        <v>789.09</v>
      </c>
      <c r="C468" s="63">
        <v>18.14</v>
      </c>
      <c r="D468" s="63">
        <v>27.63</v>
      </c>
      <c r="E468">
        <f t="shared" si="18"/>
        <v>29.578790700000006</v>
      </c>
      <c r="F468">
        <f t="shared" si="19"/>
        <v>1.9487907000000071</v>
      </c>
    </row>
    <row r="469" spans="1:6" ht="14.25" customHeight="1" x14ac:dyDescent="0.4">
      <c r="A469" s="62">
        <v>48</v>
      </c>
      <c r="B469" s="63">
        <v>1134.5</v>
      </c>
      <c r="C469" s="63">
        <v>24.15</v>
      </c>
      <c r="D469" s="63">
        <v>34.39</v>
      </c>
      <c r="E469">
        <f t="shared" si="18"/>
        <v>36.643751000000009</v>
      </c>
      <c r="F469">
        <f t="shared" si="19"/>
        <v>2.2537510000000083</v>
      </c>
    </row>
    <row r="470" spans="1:6" ht="14.25" customHeight="1" x14ac:dyDescent="0.4">
      <c r="A470" s="62">
        <v>49</v>
      </c>
      <c r="B470" s="63">
        <v>626.32000000000005</v>
      </c>
      <c r="C470" s="63">
        <v>19.079999999999998</v>
      </c>
      <c r="D470" s="63">
        <v>21.61</v>
      </c>
      <c r="E470">
        <f t="shared" si="18"/>
        <v>21.754040000000007</v>
      </c>
      <c r="F470">
        <f t="shared" si="19"/>
        <v>0.1440400000000075</v>
      </c>
    </row>
    <row r="471" spans="1:6" ht="14.25" customHeight="1" x14ac:dyDescent="0.4">
      <c r="A471" s="62">
        <v>50</v>
      </c>
      <c r="B471" s="63">
        <v>1018.78</v>
      </c>
      <c r="C471" s="63">
        <v>20.54</v>
      </c>
      <c r="D471" s="63">
        <v>37.28</v>
      </c>
      <c r="E471">
        <f t="shared" si="18"/>
        <v>36.179497800000007</v>
      </c>
      <c r="F471">
        <f t="shared" si="19"/>
        <v>1.100502199999994</v>
      </c>
    </row>
    <row r="472" spans="1:6" ht="14.25" customHeight="1" x14ac:dyDescent="0.4">
      <c r="A472" s="62">
        <v>51</v>
      </c>
      <c r="B472" s="63">
        <v>795.66</v>
      </c>
      <c r="C472" s="63">
        <v>18.39</v>
      </c>
      <c r="D472" s="63">
        <v>30.2</v>
      </c>
      <c r="E472">
        <f t="shared" si="18"/>
        <v>29.551469000000001</v>
      </c>
      <c r="F472">
        <f t="shared" si="19"/>
        <v>0.64853099999999841</v>
      </c>
    </row>
    <row r="473" spans="1:6" ht="14.25" customHeight="1" x14ac:dyDescent="0.4">
      <c r="A473" s="62">
        <v>52</v>
      </c>
      <c r="B473" s="63">
        <v>798.52</v>
      </c>
      <c r="C473" s="63">
        <v>26.92</v>
      </c>
      <c r="D473" s="63">
        <v>20.85</v>
      </c>
      <c r="E473">
        <f t="shared" si="18"/>
        <v>19.503559600000003</v>
      </c>
      <c r="F473">
        <f t="shared" si="19"/>
        <v>1.3464403999999988</v>
      </c>
    </row>
    <row r="474" spans="1:6" ht="14.25" customHeight="1" x14ac:dyDescent="0.4">
      <c r="A474" s="62">
        <v>53</v>
      </c>
      <c r="B474" s="63">
        <v>944.07</v>
      </c>
      <c r="C474" s="63">
        <v>29.84</v>
      </c>
      <c r="D474" s="63">
        <v>21.28</v>
      </c>
      <c r="E474">
        <f t="shared" si="18"/>
        <v>22.018824900000006</v>
      </c>
      <c r="F474">
        <f t="shared" si="19"/>
        <v>0.73882490000000445</v>
      </c>
    </row>
    <row r="475" spans="1:6" ht="14.25" customHeight="1" x14ac:dyDescent="0.4">
      <c r="A475" s="62">
        <v>54</v>
      </c>
      <c r="B475" s="63">
        <v>866.03</v>
      </c>
      <c r="C475" s="63">
        <v>25.26</v>
      </c>
      <c r="D475" s="63">
        <v>24.07</v>
      </c>
      <c r="E475">
        <f t="shared" si="18"/>
        <v>24.262618099999994</v>
      </c>
      <c r="F475">
        <f t="shared" si="19"/>
        <v>0.19261809999999358</v>
      </c>
    </row>
    <row r="476" spans="1:6" ht="14.25" customHeight="1" x14ac:dyDescent="0.4">
      <c r="A476" s="62">
        <v>55</v>
      </c>
      <c r="B476" s="63">
        <v>790.42</v>
      </c>
      <c r="C476" s="63">
        <v>20.29</v>
      </c>
      <c r="D476" s="63">
        <v>25.57</v>
      </c>
      <c r="E476">
        <f t="shared" si="18"/>
        <v>27.071289399999998</v>
      </c>
      <c r="F476">
        <f t="shared" si="19"/>
        <v>1.5012893999999974</v>
      </c>
    </row>
    <row r="477" spans="1:6" ht="14.25" customHeight="1" x14ac:dyDescent="0.4">
      <c r="A477" s="62">
        <v>56</v>
      </c>
      <c r="B477" s="63">
        <v>501</v>
      </c>
      <c r="C477" s="63">
        <v>23.63</v>
      </c>
      <c r="D477" s="63">
        <v>11.2</v>
      </c>
      <c r="E477">
        <f t="shared" si="18"/>
        <v>11.169601199999999</v>
      </c>
      <c r="F477">
        <f t="shared" si="19"/>
        <v>3.0398800000000392E-2</v>
      </c>
    </row>
    <row r="478" spans="1:6" ht="14.25" customHeight="1" x14ac:dyDescent="0.4">
      <c r="A478" s="62">
        <v>57</v>
      </c>
      <c r="B478" s="63">
        <v>564.58000000000004</v>
      </c>
      <c r="C478" s="63">
        <v>28.04</v>
      </c>
      <c r="D478" s="63">
        <v>9.83</v>
      </c>
      <c r="E478">
        <f t="shared" si="18"/>
        <v>8.5327997999999994</v>
      </c>
      <c r="F478">
        <f t="shared" si="19"/>
        <v>1.2972002000000007</v>
      </c>
    </row>
    <row r="479" spans="1:6" ht="14.25" customHeight="1" x14ac:dyDescent="0.4">
      <c r="A479" s="62">
        <v>58</v>
      </c>
      <c r="B479" s="63">
        <v>996.58</v>
      </c>
      <c r="C479" s="63">
        <v>33.99</v>
      </c>
      <c r="D479" s="63">
        <v>18.62</v>
      </c>
      <c r="E479">
        <f t="shared" si="18"/>
        <v>19.235907800000007</v>
      </c>
      <c r="F479">
        <f t="shared" si="19"/>
        <v>0.61590780000000578</v>
      </c>
    </row>
    <row r="480" spans="1:6" ht="14.25" customHeight="1" x14ac:dyDescent="0.4">
      <c r="A480" s="62">
        <v>59</v>
      </c>
      <c r="B480" s="63">
        <v>867.04</v>
      </c>
      <c r="C480" s="63">
        <v>34.869999999999997</v>
      </c>
      <c r="D480" s="63">
        <v>13.55</v>
      </c>
      <c r="E480">
        <f t="shared" si="18"/>
        <v>12.851406400000002</v>
      </c>
      <c r="F480">
        <f t="shared" si="19"/>
        <v>0.69859359999999882</v>
      </c>
    </row>
    <row r="481" spans="1:7" ht="14.25" customHeight="1" x14ac:dyDescent="0.4">
      <c r="A481" s="62">
        <v>60</v>
      </c>
      <c r="B481" s="63">
        <v>987.31</v>
      </c>
      <c r="C481" s="63">
        <v>22.11</v>
      </c>
      <c r="D481" s="63">
        <v>32.1</v>
      </c>
      <c r="E481">
        <f t="shared" si="18"/>
        <v>33.012185300000006</v>
      </c>
      <c r="F481">
        <f t="shared" si="19"/>
        <v>0.91218530000000442</v>
      </c>
    </row>
    <row r="482" spans="1:7" ht="14.25" customHeight="1" x14ac:dyDescent="0.35"/>
    <row r="483" spans="1:7" ht="14.25" customHeight="1" x14ac:dyDescent="0.35"/>
    <row r="484" spans="1:7" ht="14.25" customHeight="1" x14ac:dyDescent="0.35"/>
    <row r="485" spans="1:7" ht="14.25" customHeight="1" x14ac:dyDescent="0.35"/>
    <row r="486" spans="1:7" ht="14.25" customHeight="1" x14ac:dyDescent="0.35">
      <c r="A486" s="67" t="s">
        <v>60</v>
      </c>
    </row>
    <row r="487" spans="1:7" ht="14.25" customHeight="1" x14ac:dyDescent="0.35"/>
    <row r="488" spans="1:7" ht="14.25" customHeight="1" x14ac:dyDescent="0.4">
      <c r="A488" s="60" t="s">
        <v>7</v>
      </c>
      <c r="B488" s="58" t="s">
        <v>8</v>
      </c>
      <c r="C488" s="58" t="s">
        <v>9</v>
      </c>
      <c r="D488" s="58" t="s">
        <v>10</v>
      </c>
      <c r="E488" s="65" t="s">
        <v>54</v>
      </c>
      <c r="F488" s="65" t="s">
        <v>55</v>
      </c>
      <c r="G488" s="66" t="s">
        <v>15</v>
      </c>
    </row>
    <row r="489" spans="1:7" ht="14.25" customHeight="1" x14ac:dyDescent="0.4">
      <c r="A489" s="62">
        <v>1</v>
      </c>
      <c r="B489" s="63">
        <v>553.41999999999996</v>
      </c>
      <c r="C489" s="63">
        <v>19.18</v>
      </c>
      <c r="D489" s="64">
        <v>16.79</v>
      </c>
      <c r="E489">
        <f>18.4326+0.04198*B489-1.20537*C489</f>
        <v>18.546175000000002</v>
      </c>
      <c r="F489">
        <f>ABS(D489-E489)</f>
        <v>1.7561750000000025</v>
      </c>
      <c r="G489">
        <f>AVERAGE(F489:F548)</f>
        <v>1.3200130539999997</v>
      </c>
    </row>
    <row r="490" spans="1:7" ht="14.25" customHeight="1" x14ac:dyDescent="0.4">
      <c r="A490" s="62">
        <v>2</v>
      </c>
      <c r="B490" s="63">
        <v>1045.94</v>
      </c>
      <c r="C490" s="63">
        <v>24.07</v>
      </c>
      <c r="D490" s="63">
        <v>34.090000000000003</v>
      </c>
      <c r="E490">
        <f t="shared" ref="E490:E538" si="20">18.4326+0.04198*B490-1.20537*C490</f>
        <v>33.327905300000012</v>
      </c>
      <c r="F490">
        <f t="shared" ref="F490:F538" si="21">ABS(D490-E490)</f>
        <v>0.76209469999999158</v>
      </c>
    </row>
    <row r="491" spans="1:7" ht="14.25" customHeight="1" x14ac:dyDescent="0.4">
      <c r="A491" s="62">
        <v>3</v>
      </c>
      <c r="B491" s="63">
        <v>806.89</v>
      </c>
      <c r="C491" s="63">
        <v>31.82</v>
      </c>
      <c r="D491" s="63">
        <v>15.9</v>
      </c>
      <c r="E491">
        <f t="shared" si="20"/>
        <v>13.950968799999998</v>
      </c>
      <c r="F491">
        <f t="shared" si="21"/>
        <v>1.9490312000000021</v>
      </c>
    </row>
    <row r="492" spans="1:7" ht="14.25" customHeight="1" x14ac:dyDescent="0.4">
      <c r="A492" s="62">
        <v>4</v>
      </c>
      <c r="B492" s="63">
        <v>1006.43</v>
      </c>
      <c r="C492" s="63">
        <v>25.27</v>
      </c>
      <c r="D492" s="63">
        <v>31.4</v>
      </c>
      <c r="E492">
        <f t="shared" si="20"/>
        <v>30.222831500000002</v>
      </c>
      <c r="F492">
        <f t="shared" si="21"/>
        <v>1.177168499999997</v>
      </c>
    </row>
    <row r="493" spans="1:7" ht="14.25" customHeight="1" x14ac:dyDescent="0.4">
      <c r="A493" s="62">
        <v>5</v>
      </c>
      <c r="B493" s="63">
        <v>1184.5899999999999</v>
      </c>
      <c r="C493" s="63">
        <v>28.2</v>
      </c>
      <c r="D493" s="63">
        <v>32.15</v>
      </c>
      <c r="E493">
        <f t="shared" si="20"/>
        <v>34.170254200000002</v>
      </c>
      <c r="F493">
        <f t="shared" si="21"/>
        <v>2.0202542000000037</v>
      </c>
    </row>
    <row r="494" spans="1:7" ht="14.25" customHeight="1" x14ac:dyDescent="0.4">
      <c r="A494" s="62">
        <v>6</v>
      </c>
      <c r="B494" s="63">
        <v>876.95</v>
      </c>
      <c r="C494" s="63">
        <v>30.38</v>
      </c>
      <c r="D494" s="63">
        <v>19.239999999999998</v>
      </c>
      <c r="E494">
        <f t="shared" si="20"/>
        <v>18.627820400000004</v>
      </c>
      <c r="F494">
        <f t="shared" si="21"/>
        <v>0.61217959999999394</v>
      </c>
    </row>
    <row r="495" spans="1:7" ht="14.25" customHeight="1" x14ac:dyDescent="0.4">
      <c r="A495" s="62">
        <v>7</v>
      </c>
      <c r="B495" s="63">
        <v>850.78</v>
      </c>
      <c r="C495" s="63">
        <v>31.96</v>
      </c>
      <c r="D495" s="63">
        <v>18.47</v>
      </c>
      <c r="E495">
        <f t="shared" si="20"/>
        <v>15.624719199999994</v>
      </c>
      <c r="F495">
        <f t="shared" si="21"/>
        <v>2.8452808000000047</v>
      </c>
    </row>
    <row r="496" spans="1:7" ht="14.25" customHeight="1" x14ac:dyDescent="0.4">
      <c r="A496" s="62">
        <v>8</v>
      </c>
      <c r="B496" s="63">
        <v>550.44000000000005</v>
      </c>
      <c r="C496" s="63">
        <v>30.93</v>
      </c>
      <c r="D496" s="63">
        <v>2.66</v>
      </c>
      <c r="E496">
        <f t="shared" si="20"/>
        <v>4.257977099999998</v>
      </c>
      <c r="F496">
        <f t="shared" si="21"/>
        <v>1.5979770999999978</v>
      </c>
    </row>
    <row r="497" spans="1:6" ht="14.25" customHeight="1" x14ac:dyDescent="0.4">
      <c r="A497" s="62">
        <v>9</v>
      </c>
      <c r="B497" s="63">
        <v>687.91</v>
      </c>
      <c r="C497" s="63">
        <v>18.12</v>
      </c>
      <c r="D497" s="63">
        <v>26.49</v>
      </c>
      <c r="E497">
        <f t="shared" si="20"/>
        <v>25.469757400000002</v>
      </c>
      <c r="F497">
        <f t="shared" si="21"/>
        <v>1.020242599999996</v>
      </c>
    </row>
    <row r="498" spans="1:6" ht="14.25" customHeight="1" x14ac:dyDescent="0.4">
      <c r="A498" s="62">
        <v>10</v>
      </c>
      <c r="B498" s="63">
        <v>849.92</v>
      </c>
      <c r="C498" s="63">
        <v>25.14</v>
      </c>
      <c r="D498" s="63">
        <v>25.49</v>
      </c>
      <c r="E498">
        <f t="shared" si="20"/>
        <v>23.809239800000004</v>
      </c>
      <c r="F498">
        <f t="shared" si="21"/>
        <v>1.6807601999999946</v>
      </c>
    </row>
    <row r="499" spans="1:6" ht="14.25" customHeight="1" x14ac:dyDescent="0.4">
      <c r="A499" s="62">
        <v>11</v>
      </c>
      <c r="B499" s="63">
        <v>975.46</v>
      </c>
      <c r="C499" s="63">
        <v>25.87</v>
      </c>
      <c r="D499" s="63">
        <v>26.93</v>
      </c>
      <c r="E499">
        <f t="shared" si="20"/>
        <v>28.199488899999999</v>
      </c>
      <c r="F499">
        <f t="shared" si="21"/>
        <v>1.2694888999999989</v>
      </c>
    </row>
    <row r="500" spans="1:6" ht="14.25" customHeight="1" x14ac:dyDescent="0.4">
      <c r="A500" s="62">
        <v>12</v>
      </c>
      <c r="B500" s="63">
        <v>1062.6199999999999</v>
      </c>
      <c r="C500" s="63">
        <v>18.940000000000001</v>
      </c>
      <c r="D500" s="63">
        <v>40.65</v>
      </c>
      <c r="E500">
        <f t="shared" si="20"/>
        <v>40.211679799999999</v>
      </c>
      <c r="F500">
        <f t="shared" si="21"/>
        <v>0.43832019999999972</v>
      </c>
    </row>
    <row r="501" spans="1:6" ht="14.25" customHeight="1" x14ac:dyDescent="0.4">
      <c r="A501" s="62">
        <v>13</v>
      </c>
      <c r="B501" s="63">
        <v>766.66</v>
      </c>
      <c r="C501" s="63">
        <v>27.2</v>
      </c>
      <c r="D501" s="63">
        <v>16.41</v>
      </c>
      <c r="E501">
        <f t="shared" si="20"/>
        <v>17.830922799999996</v>
      </c>
      <c r="F501">
        <f t="shared" si="21"/>
        <v>1.420922799999996</v>
      </c>
    </row>
    <row r="502" spans="1:6" ht="14.25" customHeight="1" x14ac:dyDescent="0.4">
      <c r="A502" s="62">
        <v>14</v>
      </c>
      <c r="B502" s="63">
        <v>546.16</v>
      </c>
      <c r="C502" s="63">
        <v>28.33</v>
      </c>
      <c r="D502" s="63">
        <v>6.63</v>
      </c>
      <c r="E502">
        <f t="shared" si="20"/>
        <v>7.2122647000000057</v>
      </c>
      <c r="F502">
        <f t="shared" si="21"/>
        <v>0.58226470000000585</v>
      </c>
    </row>
    <row r="503" spans="1:6" ht="14.25" customHeight="1" x14ac:dyDescent="0.4">
      <c r="A503" s="62">
        <v>15</v>
      </c>
      <c r="B503" s="63">
        <v>701.7</v>
      </c>
      <c r="C503" s="63">
        <v>32.08</v>
      </c>
      <c r="D503" s="63">
        <v>8.34</v>
      </c>
      <c r="E503">
        <f t="shared" si="20"/>
        <v>9.221696399999999</v>
      </c>
      <c r="F503">
        <f t="shared" si="21"/>
        <v>0.88169639999999916</v>
      </c>
    </row>
    <row r="504" spans="1:6" ht="14.25" customHeight="1" x14ac:dyDescent="0.4">
      <c r="A504" s="62">
        <v>16</v>
      </c>
      <c r="B504" s="63">
        <v>1136.72</v>
      </c>
      <c r="C504" s="63">
        <v>34.01</v>
      </c>
      <c r="D504" s="63">
        <v>24.94</v>
      </c>
      <c r="E504">
        <f t="shared" si="20"/>
        <v>25.157471899999997</v>
      </c>
      <c r="F504">
        <f t="shared" si="21"/>
        <v>0.21747189999999605</v>
      </c>
    </row>
    <row r="505" spans="1:6" ht="14.25" customHeight="1" x14ac:dyDescent="0.4">
      <c r="A505" s="62">
        <v>17</v>
      </c>
      <c r="B505" s="63">
        <v>649.37</v>
      </c>
      <c r="C505" s="63">
        <v>20.18</v>
      </c>
      <c r="D505" s="63">
        <v>21.62</v>
      </c>
      <c r="E505">
        <f t="shared" si="20"/>
        <v>21.368786000000004</v>
      </c>
      <c r="F505">
        <f t="shared" si="21"/>
        <v>0.25121399999999738</v>
      </c>
    </row>
    <row r="506" spans="1:6" ht="14.25" customHeight="1" x14ac:dyDescent="0.4">
      <c r="A506" s="62">
        <v>18</v>
      </c>
      <c r="B506" s="63">
        <v>816.49</v>
      </c>
      <c r="C506" s="63">
        <v>21.92</v>
      </c>
      <c r="D506" s="63">
        <v>27.79</v>
      </c>
      <c r="E506">
        <f t="shared" si="20"/>
        <v>26.287139799999999</v>
      </c>
      <c r="F506">
        <f t="shared" si="21"/>
        <v>1.5028602000000006</v>
      </c>
    </row>
    <row r="507" spans="1:6" ht="14.25" customHeight="1" x14ac:dyDescent="0.4">
      <c r="A507" s="62">
        <v>19</v>
      </c>
      <c r="B507" s="63">
        <v>1151.8399999999999</v>
      </c>
      <c r="C507" s="63">
        <v>29.21</v>
      </c>
      <c r="D507" s="63">
        <v>29.62</v>
      </c>
      <c r="E507">
        <f t="shared" si="20"/>
        <v>31.57798549999999</v>
      </c>
      <c r="F507">
        <f t="shared" si="21"/>
        <v>1.9579854999999888</v>
      </c>
    </row>
    <row r="508" spans="1:6" ht="14.25" customHeight="1" x14ac:dyDescent="0.4">
      <c r="A508" s="62">
        <v>20</v>
      </c>
      <c r="B508" s="63">
        <v>517.42999999999995</v>
      </c>
      <c r="C508" s="63">
        <v>20.25</v>
      </c>
      <c r="D508" s="63">
        <v>16.2</v>
      </c>
      <c r="E508">
        <f t="shared" si="20"/>
        <v>15.745568899999995</v>
      </c>
      <c r="F508">
        <f t="shared" si="21"/>
        <v>0.45443110000000431</v>
      </c>
    </row>
    <row r="509" spans="1:6" ht="14.25" customHeight="1" x14ac:dyDescent="0.4">
      <c r="A509" s="62">
        <v>21</v>
      </c>
      <c r="B509" s="63">
        <v>920.38</v>
      </c>
      <c r="C509" s="63">
        <v>21.81</v>
      </c>
      <c r="D509" s="63">
        <v>32.090000000000003</v>
      </c>
      <c r="E509">
        <f t="shared" si="20"/>
        <v>30.781032700000004</v>
      </c>
      <c r="F509">
        <f t="shared" si="21"/>
        <v>1.3089672999999991</v>
      </c>
    </row>
    <row r="510" spans="1:6" ht="14.25" customHeight="1" x14ac:dyDescent="0.4">
      <c r="A510" s="62">
        <v>22</v>
      </c>
      <c r="B510" s="63">
        <v>1165.0899999999999</v>
      </c>
      <c r="C510" s="63">
        <v>27.77</v>
      </c>
      <c r="D510" s="63">
        <v>34.119999999999997</v>
      </c>
      <c r="E510">
        <f t="shared" si="20"/>
        <v>33.869953300000006</v>
      </c>
      <c r="F510">
        <f t="shared" si="21"/>
        <v>0.25004669999999152</v>
      </c>
    </row>
    <row r="511" spans="1:6" ht="14.25" customHeight="1" x14ac:dyDescent="0.4">
      <c r="A511" s="62">
        <v>23</v>
      </c>
      <c r="B511" s="63">
        <v>661.21</v>
      </c>
      <c r="C511" s="63">
        <v>20.88</v>
      </c>
      <c r="D511" s="63">
        <v>19.399999999999999</v>
      </c>
      <c r="E511">
        <f t="shared" si="20"/>
        <v>21.022070200000005</v>
      </c>
      <c r="F511">
        <f t="shared" si="21"/>
        <v>1.6220702000000067</v>
      </c>
    </row>
    <row r="512" spans="1:6" ht="14.25" customHeight="1" x14ac:dyDescent="0.4">
      <c r="A512" s="62">
        <v>24</v>
      </c>
      <c r="B512" s="63">
        <v>883.94</v>
      </c>
      <c r="C512" s="63">
        <v>31.3</v>
      </c>
      <c r="D512" s="63">
        <v>18.8</v>
      </c>
      <c r="E512">
        <f t="shared" si="20"/>
        <v>17.812320200000002</v>
      </c>
      <c r="F512">
        <f t="shared" si="21"/>
        <v>0.98767979999999866</v>
      </c>
    </row>
    <row r="513" spans="1:6" ht="14.25" customHeight="1" x14ac:dyDescent="0.4">
      <c r="A513" s="62">
        <v>25</v>
      </c>
      <c r="B513" s="63">
        <v>1136.3900000000001</v>
      </c>
      <c r="C513" s="63">
        <v>32.57</v>
      </c>
      <c r="D513" s="63">
        <v>25.66</v>
      </c>
      <c r="E513">
        <f t="shared" si="20"/>
        <v>26.87935130000001</v>
      </c>
      <c r="F513">
        <f t="shared" si="21"/>
        <v>1.2193513000000102</v>
      </c>
    </row>
    <row r="514" spans="1:6" ht="14.25" customHeight="1" x14ac:dyDescent="0.4">
      <c r="A514" s="62">
        <v>26</v>
      </c>
      <c r="B514" s="63">
        <v>593.22</v>
      </c>
      <c r="C514" s="63">
        <v>18.57</v>
      </c>
      <c r="D514" s="63">
        <v>22.02</v>
      </c>
      <c r="E514">
        <f t="shared" si="20"/>
        <v>20.952254700000005</v>
      </c>
      <c r="F514">
        <f t="shared" si="21"/>
        <v>1.067745299999995</v>
      </c>
    </row>
    <row r="515" spans="1:6" ht="14.25" customHeight="1" x14ac:dyDescent="0.4">
      <c r="A515" s="62">
        <v>27</v>
      </c>
      <c r="B515" s="63">
        <v>866.39</v>
      </c>
      <c r="C515" s="63">
        <v>27.05</v>
      </c>
      <c r="D515" s="63">
        <v>22.64</v>
      </c>
      <c r="E515">
        <f t="shared" si="20"/>
        <v>22.198393699999997</v>
      </c>
      <c r="F515">
        <f t="shared" si="21"/>
        <v>0.44160630000000367</v>
      </c>
    </row>
    <row r="516" spans="1:6" ht="14.25" customHeight="1" x14ac:dyDescent="0.4">
      <c r="A516" s="62">
        <v>28</v>
      </c>
      <c r="B516" s="63">
        <v>1025.29</v>
      </c>
      <c r="C516" s="63">
        <v>31.55</v>
      </c>
      <c r="D516" s="63">
        <v>24.98</v>
      </c>
      <c r="E516">
        <f t="shared" si="20"/>
        <v>23.444850700000003</v>
      </c>
      <c r="F516">
        <f t="shared" si="21"/>
        <v>1.5351492999999969</v>
      </c>
    </row>
    <row r="517" spans="1:6" ht="14.25" customHeight="1" x14ac:dyDescent="0.4">
      <c r="A517" s="62">
        <v>29</v>
      </c>
      <c r="B517" s="63">
        <v>968.31</v>
      </c>
      <c r="C517" s="63">
        <v>34.58</v>
      </c>
      <c r="D517" s="63">
        <v>17.41</v>
      </c>
      <c r="E517">
        <f t="shared" si="20"/>
        <v>17.400559200000004</v>
      </c>
      <c r="F517">
        <f t="shared" si="21"/>
        <v>9.4407999999965853E-3</v>
      </c>
    </row>
    <row r="518" spans="1:6" ht="14.25" customHeight="1" x14ac:dyDescent="0.4">
      <c r="A518" s="62">
        <v>30</v>
      </c>
      <c r="B518" s="63">
        <v>827.43</v>
      </c>
      <c r="C518" s="63">
        <v>22.66</v>
      </c>
      <c r="D518" s="63">
        <v>23.12</v>
      </c>
      <c r="E518">
        <f t="shared" si="20"/>
        <v>25.8544272</v>
      </c>
      <c r="F518">
        <f t="shared" si="21"/>
        <v>2.7344271999999989</v>
      </c>
    </row>
    <row r="519" spans="1:6" ht="14.25" customHeight="1" x14ac:dyDescent="0.4">
      <c r="A519" s="62">
        <v>31</v>
      </c>
      <c r="B519" s="63">
        <v>643.39</v>
      </c>
      <c r="C519" s="63">
        <v>20.87</v>
      </c>
      <c r="D519" s="63">
        <v>18.63</v>
      </c>
      <c r="E519">
        <f t="shared" si="20"/>
        <v>20.286040300000003</v>
      </c>
      <c r="F519">
        <f t="shared" si="21"/>
        <v>1.6560403000000044</v>
      </c>
    </row>
    <row r="520" spans="1:6" ht="14.25" customHeight="1" x14ac:dyDescent="0.4">
      <c r="A520" s="62">
        <v>32</v>
      </c>
      <c r="B520" s="63">
        <v>843.54</v>
      </c>
      <c r="C520" s="63">
        <v>32.9</v>
      </c>
      <c r="D520" s="63">
        <v>15.35</v>
      </c>
      <c r="E520">
        <f t="shared" si="20"/>
        <v>14.187736200000003</v>
      </c>
      <c r="F520">
        <f t="shared" si="21"/>
        <v>1.1622637999999963</v>
      </c>
    </row>
    <row r="521" spans="1:6" ht="14.25" customHeight="1" x14ac:dyDescent="0.4">
      <c r="A521" s="62">
        <v>33</v>
      </c>
      <c r="B521" s="63">
        <v>760.67</v>
      </c>
      <c r="C521" s="63">
        <v>33.46</v>
      </c>
      <c r="D521" s="63">
        <v>9.89</v>
      </c>
      <c r="E521">
        <f t="shared" si="20"/>
        <v>10.033846400000002</v>
      </c>
      <c r="F521">
        <f t="shared" si="21"/>
        <v>0.14384640000000104</v>
      </c>
    </row>
    <row r="522" spans="1:6" ht="14.25" customHeight="1" x14ac:dyDescent="0.4">
      <c r="A522" s="62">
        <v>34</v>
      </c>
      <c r="B522" s="63">
        <v>834.18</v>
      </c>
      <c r="C522" s="63">
        <v>21.36</v>
      </c>
      <c r="D522" s="63">
        <v>29.44</v>
      </c>
      <c r="E522">
        <f t="shared" si="20"/>
        <v>27.704773200000005</v>
      </c>
      <c r="F522">
        <f t="shared" si="21"/>
        <v>1.735226799999996</v>
      </c>
    </row>
    <row r="523" spans="1:6" ht="14.25" customHeight="1" x14ac:dyDescent="0.4">
      <c r="A523" s="62">
        <v>35</v>
      </c>
      <c r="B523" s="63">
        <v>756.12</v>
      </c>
      <c r="C523" s="63">
        <v>25.51</v>
      </c>
      <c r="D523" s="63">
        <v>20.05</v>
      </c>
      <c r="E523">
        <f t="shared" si="20"/>
        <v>19.4255289</v>
      </c>
      <c r="F523">
        <f t="shared" si="21"/>
        <v>0.62447110000000094</v>
      </c>
    </row>
    <row r="524" spans="1:6" ht="14.25" customHeight="1" x14ac:dyDescent="0.4">
      <c r="A524" s="62">
        <v>36</v>
      </c>
      <c r="B524" s="63">
        <v>1086.54</v>
      </c>
      <c r="C524" s="63">
        <v>30.23</v>
      </c>
      <c r="D524" s="63">
        <v>26.07</v>
      </c>
      <c r="E524">
        <f t="shared" si="20"/>
        <v>27.607214100000007</v>
      </c>
      <c r="F524">
        <f t="shared" si="21"/>
        <v>1.537214100000007</v>
      </c>
    </row>
    <row r="525" spans="1:6" ht="14.25" customHeight="1" x14ac:dyDescent="0.4">
      <c r="A525" s="62">
        <v>37</v>
      </c>
      <c r="B525" s="63">
        <v>1038.05</v>
      </c>
      <c r="C525" s="63">
        <v>32.369999999999997</v>
      </c>
      <c r="D525" s="63">
        <v>24.3</v>
      </c>
      <c r="E525">
        <f t="shared" si="20"/>
        <v>22.992112100000007</v>
      </c>
      <c r="F525">
        <f t="shared" si="21"/>
        <v>1.3078878999999937</v>
      </c>
    </row>
    <row r="526" spans="1:6" ht="14.25" customHeight="1" x14ac:dyDescent="0.4">
      <c r="A526" s="62">
        <v>38</v>
      </c>
      <c r="B526" s="63">
        <v>719.8</v>
      </c>
      <c r="C526" s="63">
        <v>20.86</v>
      </c>
      <c r="D526" s="63">
        <v>22.55</v>
      </c>
      <c r="E526">
        <f t="shared" si="20"/>
        <v>23.505785800000002</v>
      </c>
      <c r="F526">
        <f t="shared" si="21"/>
        <v>0.95578580000000102</v>
      </c>
    </row>
    <row r="527" spans="1:6" ht="14.25" customHeight="1" x14ac:dyDescent="0.4">
      <c r="A527" s="62">
        <v>39</v>
      </c>
      <c r="B527" s="63">
        <v>900.84</v>
      </c>
      <c r="C527" s="63">
        <v>29.3</v>
      </c>
      <c r="D527" s="63">
        <v>17.79</v>
      </c>
      <c r="E527">
        <f t="shared" si="20"/>
        <v>20.932522200000008</v>
      </c>
      <c r="F527">
        <f t="shared" si="21"/>
        <v>3.142522200000009</v>
      </c>
    </row>
    <row r="528" spans="1:6" ht="14.25" customHeight="1" x14ac:dyDescent="0.4">
      <c r="A528" s="62">
        <v>40</v>
      </c>
      <c r="B528" s="63">
        <v>693.23</v>
      </c>
      <c r="C528" s="63">
        <v>31.73</v>
      </c>
      <c r="D528" s="63">
        <v>12.75</v>
      </c>
      <c r="E528">
        <f t="shared" si="20"/>
        <v>9.2880053000000089</v>
      </c>
      <c r="F528">
        <f t="shared" si="21"/>
        <v>3.4619946999999911</v>
      </c>
    </row>
    <row r="529" spans="1:6" ht="14.25" customHeight="1" x14ac:dyDescent="0.4">
      <c r="A529" s="62">
        <v>41</v>
      </c>
      <c r="B529" s="63">
        <v>816.99</v>
      </c>
      <c r="C529" s="63">
        <v>27.35</v>
      </c>
      <c r="D529" s="63">
        <v>17</v>
      </c>
      <c r="E529">
        <f t="shared" si="20"/>
        <v>19.762970700000004</v>
      </c>
      <c r="F529">
        <f t="shared" si="21"/>
        <v>2.7629707000000039</v>
      </c>
    </row>
    <row r="530" spans="1:6" ht="14.25" customHeight="1" x14ac:dyDescent="0.4">
      <c r="A530" s="62">
        <v>42</v>
      </c>
      <c r="B530" s="63">
        <v>747.08</v>
      </c>
      <c r="C530" s="63">
        <v>20.8</v>
      </c>
      <c r="D530" s="63">
        <v>25.88</v>
      </c>
      <c r="E530">
        <f t="shared" si="20"/>
        <v>24.723322400000001</v>
      </c>
      <c r="F530">
        <f t="shared" si="21"/>
        <v>1.1566775999999983</v>
      </c>
    </row>
    <row r="531" spans="1:6" ht="14.25" customHeight="1" x14ac:dyDescent="0.4">
      <c r="A531" s="62">
        <v>43</v>
      </c>
      <c r="B531" s="63">
        <v>960.18</v>
      </c>
      <c r="C531" s="63">
        <v>18.600000000000001</v>
      </c>
      <c r="D531" s="63">
        <v>37.49</v>
      </c>
      <c r="E531">
        <f t="shared" si="20"/>
        <v>36.321074400000001</v>
      </c>
      <c r="F531">
        <f t="shared" si="21"/>
        <v>1.1689256000000015</v>
      </c>
    </row>
    <row r="532" spans="1:6" ht="14.25" customHeight="1" x14ac:dyDescent="0.4">
      <c r="A532" s="62">
        <v>44</v>
      </c>
      <c r="B532" s="63">
        <v>759.25</v>
      </c>
      <c r="C532" s="63">
        <v>22.79</v>
      </c>
      <c r="D532" s="63">
        <v>23.25</v>
      </c>
      <c r="E532">
        <f t="shared" si="20"/>
        <v>22.835532699999998</v>
      </c>
      <c r="F532">
        <f t="shared" si="21"/>
        <v>0.41446730000000187</v>
      </c>
    </row>
    <row r="533" spans="1:6" ht="14.25" customHeight="1" x14ac:dyDescent="0.4">
      <c r="A533" s="62">
        <v>45</v>
      </c>
      <c r="B533" s="63">
        <v>821.37</v>
      </c>
      <c r="C533" s="63">
        <v>31.73</v>
      </c>
      <c r="D533" s="63">
        <v>12.25</v>
      </c>
      <c r="E533">
        <f t="shared" si="20"/>
        <v>14.667322500000004</v>
      </c>
      <c r="F533">
        <f t="shared" si="21"/>
        <v>2.4173225000000045</v>
      </c>
    </row>
    <row r="534" spans="1:6" ht="14.25" customHeight="1" x14ac:dyDescent="0.4">
      <c r="A534" s="62">
        <v>46</v>
      </c>
      <c r="B534" s="63">
        <v>1003.53</v>
      </c>
      <c r="C534" s="63">
        <v>18.760000000000002</v>
      </c>
      <c r="D534" s="63">
        <v>39.15</v>
      </c>
      <c r="E534">
        <f t="shared" si="20"/>
        <v>37.948048200000002</v>
      </c>
      <c r="F534">
        <f t="shared" si="21"/>
        <v>1.2019517999999962</v>
      </c>
    </row>
    <row r="535" spans="1:6" ht="14.25" customHeight="1" x14ac:dyDescent="0.4">
      <c r="A535" s="62">
        <v>47</v>
      </c>
      <c r="B535" s="63">
        <v>789.09</v>
      </c>
      <c r="C535" s="63">
        <v>18.14</v>
      </c>
      <c r="D535" s="63">
        <v>27.63</v>
      </c>
      <c r="E535">
        <f t="shared" si="20"/>
        <v>29.693186400000005</v>
      </c>
      <c r="F535">
        <f t="shared" si="21"/>
        <v>2.0631864000000064</v>
      </c>
    </row>
    <row r="536" spans="1:6" ht="14.25" customHeight="1" x14ac:dyDescent="0.4">
      <c r="A536" s="62">
        <v>48</v>
      </c>
      <c r="B536" s="63">
        <v>1134.5</v>
      </c>
      <c r="C536" s="63">
        <v>24.15</v>
      </c>
      <c r="D536" s="63">
        <v>34.39</v>
      </c>
      <c r="E536">
        <f t="shared" si="20"/>
        <v>36.9492245</v>
      </c>
      <c r="F536">
        <f t="shared" si="21"/>
        <v>2.5592244999999991</v>
      </c>
    </row>
    <row r="537" spans="1:6" ht="14.25" customHeight="1" x14ac:dyDescent="0.4">
      <c r="A537" s="62">
        <v>49</v>
      </c>
      <c r="B537" s="63">
        <v>626.32000000000005</v>
      </c>
      <c r="C537" s="63">
        <v>19.079999999999998</v>
      </c>
      <c r="D537" s="63">
        <v>21.61</v>
      </c>
      <c r="E537">
        <f t="shared" si="20"/>
        <v>21.727054000000006</v>
      </c>
      <c r="F537">
        <f t="shared" si="21"/>
        <v>0.11705400000000665</v>
      </c>
    </row>
    <row r="538" spans="1:6" ht="14.25" customHeight="1" x14ac:dyDescent="0.4">
      <c r="A538" s="62">
        <v>50</v>
      </c>
      <c r="B538" s="63">
        <v>1018.78</v>
      </c>
      <c r="C538" s="63">
        <v>20.54</v>
      </c>
      <c r="D538" s="63">
        <v>37.28</v>
      </c>
      <c r="E538">
        <f t="shared" si="20"/>
        <v>36.442684600000007</v>
      </c>
      <c r="F538">
        <f t="shared" si="21"/>
        <v>0.83731539999999427</v>
      </c>
    </row>
    <row r="539" spans="1:6" ht="14.25" customHeight="1" x14ac:dyDescent="0.35"/>
    <row r="540" spans="1:6" ht="14.25" customHeight="1" x14ac:dyDescent="0.35"/>
    <row r="541" spans="1:6" ht="14.25" customHeight="1" x14ac:dyDescent="0.35"/>
    <row r="542" spans="1:6" ht="14.25" customHeight="1" x14ac:dyDescent="0.35"/>
    <row r="543" spans="1:6" ht="14.25" customHeight="1" x14ac:dyDescent="0.35"/>
    <row r="544" spans="1:6"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4">
    <mergeCell ref="G6:G8"/>
    <mergeCell ref="H6:K8"/>
    <mergeCell ref="H9:K10"/>
    <mergeCell ref="A17:E24"/>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00"/>
  <sheetViews>
    <sheetView topLeftCell="F234" zoomScale="62" zoomScaleNormal="55" workbookViewId="0">
      <selection activeCell="L79" sqref="L79"/>
    </sheetView>
  </sheetViews>
  <sheetFormatPr defaultColWidth="12.6328125" defaultRowHeight="15" customHeight="1" x14ac:dyDescent="0.35"/>
  <cols>
    <col min="1" max="1" width="12.26953125" customWidth="1"/>
    <col min="2" max="2" width="21.08984375" customWidth="1"/>
    <col min="3" max="3" width="23.26953125" customWidth="1"/>
    <col min="4" max="4" width="21.6328125" customWidth="1"/>
    <col min="5" max="5" width="20.36328125" customWidth="1"/>
    <col min="6" max="6" width="44.453125" customWidth="1"/>
    <col min="7" max="7" width="40.36328125" customWidth="1"/>
    <col min="8" max="8" width="36.453125" customWidth="1"/>
    <col min="9" max="9" width="21.7265625" customWidth="1"/>
    <col min="10" max="26" width="8.6328125" customWidth="1"/>
  </cols>
  <sheetData>
    <row r="1" spans="1:12" ht="14.25" customHeight="1" x14ac:dyDescent="0.45">
      <c r="A1" s="14"/>
      <c r="B1" s="14"/>
      <c r="C1" s="14"/>
      <c r="D1" s="14"/>
      <c r="E1" s="14"/>
      <c r="F1" s="14"/>
      <c r="G1" s="14"/>
      <c r="H1" s="14"/>
      <c r="I1" s="14"/>
      <c r="J1" s="14"/>
      <c r="K1" s="14"/>
      <c r="L1" s="14"/>
    </row>
    <row r="2" spans="1:12" ht="14.25" customHeight="1" x14ac:dyDescent="0.45">
      <c r="A2" s="14"/>
      <c r="B2" s="23" t="s">
        <v>11</v>
      </c>
      <c r="C2" s="14"/>
      <c r="D2" s="14"/>
      <c r="E2" s="14"/>
      <c r="F2" s="14"/>
      <c r="G2" s="14"/>
      <c r="H2" s="14"/>
      <c r="I2" s="14"/>
      <c r="J2" s="14"/>
      <c r="K2" s="14"/>
      <c r="L2" s="14"/>
    </row>
    <row r="3" spans="1:12" ht="14.25" customHeight="1" x14ac:dyDescent="0.45">
      <c r="A3" s="14"/>
      <c r="B3" s="14"/>
      <c r="C3" s="14"/>
      <c r="D3" s="14"/>
      <c r="E3" s="14"/>
      <c r="F3" s="14"/>
      <c r="G3" s="14"/>
      <c r="H3" s="14"/>
      <c r="I3" s="14"/>
      <c r="J3" s="14"/>
      <c r="K3" s="14"/>
      <c r="L3" s="14"/>
    </row>
    <row r="4" spans="1:12" ht="14.25" customHeight="1" x14ac:dyDescent="0.45">
      <c r="A4" s="14"/>
      <c r="B4" s="14"/>
      <c r="C4" s="14"/>
      <c r="D4" s="14"/>
      <c r="E4" s="14"/>
      <c r="F4" s="14"/>
      <c r="G4" s="14"/>
      <c r="H4" s="14"/>
      <c r="I4" s="14"/>
      <c r="J4" s="14"/>
      <c r="K4" s="14"/>
      <c r="L4" s="14"/>
    </row>
    <row r="5" spans="1:12" ht="14.25" customHeight="1" x14ac:dyDescent="0.45">
      <c r="A5" s="10" t="s">
        <v>0</v>
      </c>
      <c r="B5" s="10" t="s">
        <v>1</v>
      </c>
      <c r="C5" s="10" t="s">
        <v>2</v>
      </c>
      <c r="D5" s="11" t="s">
        <v>12</v>
      </c>
      <c r="E5" s="12" t="s">
        <v>13</v>
      </c>
      <c r="F5" s="12" t="s">
        <v>14</v>
      </c>
      <c r="G5" s="12" t="s">
        <v>14</v>
      </c>
      <c r="H5" s="13" t="s">
        <v>61</v>
      </c>
      <c r="I5" s="14"/>
      <c r="J5" s="14"/>
      <c r="K5" s="14"/>
      <c r="L5" s="14"/>
    </row>
    <row r="6" spans="1:12" ht="14.25" customHeight="1" x14ac:dyDescent="0.45">
      <c r="A6" s="13">
        <v>8</v>
      </c>
      <c r="B6" s="13">
        <v>650</v>
      </c>
      <c r="C6" s="13">
        <v>29</v>
      </c>
      <c r="D6" s="15">
        <v>3.9</v>
      </c>
      <c r="E6" s="16">
        <f t="shared" ref="E6:E8" si="0">0.002*B6-0.05*C6+1.5</f>
        <v>1.3499999999999999</v>
      </c>
      <c r="F6" s="13">
        <f t="shared" ref="F6:F8" si="1">ABS(D6-E6)</f>
        <v>2.5499999999999998</v>
      </c>
      <c r="G6" s="13">
        <f t="shared" ref="G6:G8" si="2">F6^2</f>
        <v>6.5024999999999995</v>
      </c>
      <c r="H6" s="50">
        <f>AVERAGE(G6:G8)</f>
        <v>7.235833333333332</v>
      </c>
      <c r="I6" s="51" t="s">
        <v>62</v>
      </c>
      <c r="J6" s="41"/>
      <c r="K6" s="41"/>
      <c r="L6" s="42"/>
    </row>
    <row r="7" spans="1:12" ht="14.25" customHeight="1" x14ac:dyDescent="0.45">
      <c r="A7" s="13">
        <v>9</v>
      </c>
      <c r="B7" s="13">
        <v>700</v>
      </c>
      <c r="C7" s="13">
        <v>27</v>
      </c>
      <c r="D7" s="15">
        <v>4.0999999999999996</v>
      </c>
      <c r="E7" s="16">
        <f t="shared" si="0"/>
        <v>1.55</v>
      </c>
      <c r="F7" s="13">
        <f t="shared" si="1"/>
        <v>2.5499999999999998</v>
      </c>
      <c r="G7" s="13">
        <f t="shared" si="2"/>
        <v>6.5024999999999995</v>
      </c>
      <c r="H7" s="38"/>
      <c r="I7" s="43"/>
      <c r="J7" s="44"/>
      <c r="K7" s="44"/>
      <c r="L7" s="45"/>
    </row>
    <row r="8" spans="1:12" ht="14.25" customHeight="1" x14ac:dyDescent="0.45">
      <c r="A8" s="13">
        <v>10</v>
      </c>
      <c r="B8" s="13">
        <v>950</v>
      </c>
      <c r="C8" s="13">
        <v>21</v>
      </c>
      <c r="D8" s="15">
        <v>5.3</v>
      </c>
      <c r="E8" s="16">
        <f t="shared" si="0"/>
        <v>2.35</v>
      </c>
      <c r="F8" s="13">
        <f t="shared" si="1"/>
        <v>2.9499999999999997</v>
      </c>
      <c r="G8" s="13">
        <f t="shared" si="2"/>
        <v>8.7024999999999988</v>
      </c>
      <c r="H8" s="39"/>
      <c r="I8" s="46"/>
      <c r="J8" s="47"/>
      <c r="K8" s="47"/>
      <c r="L8" s="48"/>
    </row>
    <row r="9" spans="1:12" ht="14.25" customHeight="1" x14ac:dyDescent="0.45">
      <c r="A9" s="14"/>
      <c r="B9" s="14"/>
      <c r="C9" s="14"/>
      <c r="D9" s="14"/>
      <c r="E9" s="14"/>
      <c r="F9" s="14"/>
      <c r="G9" s="14"/>
      <c r="H9" s="14"/>
      <c r="I9" s="54"/>
      <c r="J9" s="41"/>
      <c r="K9" s="41"/>
      <c r="L9" s="41"/>
    </row>
    <row r="10" spans="1:12" ht="14.25" customHeight="1" x14ac:dyDescent="0.45">
      <c r="A10" s="14"/>
      <c r="B10" s="14"/>
      <c r="C10" s="14"/>
      <c r="D10" s="14"/>
      <c r="E10" s="14"/>
      <c r="F10" s="14"/>
      <c r="G10" s="14"/>
      <c r="H10" s="14"/>
      <c r="I10" s="44"/>
      <c r="J10" s="44"/>
      <c r="K10" s="44"/>
      <c r="L10" s="44"/>
    </row>
    <row r="11" spans="1:12" ht="14.25" customHeight="1" x14ac:dyDescent="0.35"/>
    <row r="12" spans="1:12" ht="14.25" customHeight="1" x14ac:dyDescent="0.35"/>
    <row r="13" spans="1:12" ht="14.25" customHeight="1" x14ac:dyDescent="0.35"/>
    <row r="14" spans="1:12" ht="14.25" customHeight="1" x14ac:dyDescent="0.35"/>
    <row r="15" spans="1:12" ht="14.25" customHeight="1" x14ac:dyDescent="0.35"/>
    <row r="16" spans="1:12" ht="14.25" customHeight="1" x14ac:dyDescent="0.35"/>
    <row r="17" spans="1:7" ht="14.25" customHeight="1" x14ac:dyDescent="0.35">
      <c r="A17" s="53"/>
      <c r="B17" s="44"/>
      <c r="C17" s="44"/>
      <c r="D17" s="44"/>
      <c r="E17" s="44"/>
    </row>
    <row r="18" spans="1:7" ht="14.25" customHeight="1" x14ac:dyDescent="0.35">
      <c r="A18" s="44"/>
      <c r="B18" s="44"/>
      <c r="C18" s="44"/>
      <c r="D18" s="44"/>
      <c r="E18" s="44"/>
    </row>
    <row r="19" spans="1:7" ht="14.25" customHeight="1" x14ac:dyDescent="0.35">
      <c r="A19" s="44"/>
      <c r="B19" s="44"/>
      <c r="C19" s="44"/>
      <c r="D19" s="44"/>
      <c r="E19" s="44"/>
    </row>
    <row r="20" spans="1:7" ht="14.25" customHeight="1" x14ac:dyDescent="0.35">
      <c r="A20" s="44"/>
      <c r="B20" s="44"/>
      <c r="C20" s="44"/>
      <c r="D20" s="44"/>
      <c r="E20" s="44"/>
    </row>
    <row r="21" spans="1:7" ht="14.25" customHeight="1" x14ac:dyDescent="0.35">
      <c r="A21" s="44"/>
      <c r="B21" s="44"/>
      <c r="C21" s="44"/>
      <c r="D21" s="44"/>
      <c r="E21" s="44"/>
    </row>
    <row r="22" spans="1:7" ht="14.25" customHeight="1" x14ac:dyDescent="0.35">
      <c r="A22" s="44"/>
      <c r="B22" s="44"/>
      <c r="C22" s="44"/>
      <c r="D22" s="44"/>
      <c r="E22" s="44"/>
    </row>
    <row r="23" spans="1:7" ht="14.25" customHeight="1" x14ac:dyDescent="0.35">
      <c r="A23" s="44"/>
      <c r="B23" s="44"/>
      <c r="C23" s="44"/>
      <c r="D23" s="44"/>
      <c r="E23" s="44"/>
    </row>
    <row r="24" spans="1:7" ht="14.25" customHeight="1" x14ac:dyDescent="0.35">
      <c r="A24" s="44"/>
      <c r="B24" s="44"/>
      <c r="C24" s="44"/>
      <c r="D24" s="44"/>
      <c r="E24" s="44"/>
    </row>
    <row r="25" spans="1:7" ht="14.25" customHeight="1" x14ac:dyDescent="0.35"/>
    <row r="26" spans="1:7" ht="14.25" customHeight="1" x14ac:dyDescent="0.35"/>
    <row r="27" spans="1:7" ht="14.25" customHeight="1" x14ac:dyDescent="0.35"/>
    <row r="28" spans="1:7" ht="14.25" customHeight="1" x14ac:dyDescent="0.35"/>
    <row r="29" spans="1:7" ht="14.25" customHeight="1" x14ac:dyDescent="0.35"/>
    <row r="30" spans="1:7" ht="14.25" customHeight="1" x14ac:dyDescent="0.35"/>
    <row r="31" spans="1:7" ht="14.25" customHeight="1" x14ac:dyDescent="0.35"/>
    <row r="32" spans="1:7" ht="14.25" customHeight="1" x14ac:dyDescent="0.35">
      <c r="E32" s="24" t="s">
        <v>63</v>
      </c>
      <c r="G32" s="17" t="s">
        <v>64</v>
      </c>
    </row>
    <row r="33" spans="2:8" ht="14.25" customHeight="1" x14ac:dyDescent="0.35">
      <c r="B33" s="19"/>
      <c r="E33" s="19"/>
    </row>
    <row r="34" spans="2:8" ht="14.25" customHeight="1" x14ac:dyDescent="0.35">
      <c r="B34" s="19"/>
      <c r="E34" s="19" t="s">
        <v>65</v>
      </c>
      <c r="G34" s="18" t="s">
        <v>66</v>
      </c>
      <c r="H34" s="17"/>
    </row>
    <row r="35" spans="2:8" ht="14.25" customHeight="1" x14ac:dyDescent="0.35">
      <c r="E35" s="19"/>
    </row>
    <row r="36" spans="2:8" ht="14.25" customHeight="1" x14ac:dyDescent="0.35">
      <c r="E36" s="19" t="s">
        <v>67</v>
      </c>
      <c r="G36" s="24" t="s">
        <v>68</v>
      </c>
    </row>
    <row r="37" spans="2:8" ht="14.25" customHeight="1" x14ac:dyDescent="0.35">
      <c r="B37" s="19"/>
      <c r="E37" s="19"/>
      <c r="H37" s="19"/>
    </row>
    <row r="38" spans="2:8" ht="14.25" customHeight="1" x14ac:dyDescent="0.35">
      <c r="B38" s="19"/>
      <c r="E38" s="19" t="s">
        <v>69</v>
      </c>
      <c r="G38" s="18" t="s">
        <v>70</v>
      </c>
      <c r="H38" s="19"/>
    </row>
    <row r="39" spans="2:8" ht="14.25" customHeight="1" x14ac:dyDescent="0.35">
      <c r="H39" s="19"/>
    </row>
    <row r="40" spans="2:8" ht="14.25" customHeight="1" x14ac:dyDescent="0.35">
      <c r="E40" s="24" t="s">
        <v>71</v>
      </c>
      <c r="G40" s="18" t="s">
        <v>72</v>
      </c>
    </row>
    <row r="41" spans="2:8" ht="14.25" customHeight="1" x14ac:dyDescent="0.35">
      <c r="E41" s="19"/>
    </row>
    <row r="42" spans="2:8" ht="14.25" customHeight="1" x14ac:dyDescent="0.35">
      <c r="E42" s="19" t="s">
        <v>73</v>
      </c>
      <c r="G42" s="24" t="s">
        <v>74</v>
      </c>
    </row>
    <row r="43" spans="2:8" ht="14.25" customHeight="1" x14ac:dyDescent="0.35">
      <c r="E43" s="19"/>
      <c r="H43" s="17"/>
    </row>
    <row r="44" spans="2:8" ht="14.25" customHeight="1" x14ac:dyDescent="0.35">
      <c r="E44" s="19" t="s">
        <v>75</v>
      </c>
      <c r="G44" s="18" t="s">
        <v>76</v>
      </c>
    </row>
    <row r="45" spans="2:8" ht="14.25" customHeight="1" x14ac:dyDescent="0.35">
      <c r="E45" s="19"/>
    </row>
    <row r="46" spans="2:8" ht="14.25" customHeight="1" x14ac:dyDescent="0.35">
      <c r="E46" s="19" t="s">
        <v>77</v>
      </c>
      <c r="G46" s="18" t="s">
        <v>78</v>
      </c>
      <c r="H46" s="19"/>
    </row>
    <row r="47" spans="2:8" ht="14.25" customHeight="1" x14ac:dyDescent="0.35">
      <c r="H47" s="19"/>
    </row>
    <row r="48" spans="2:8" ht="14.25" customHeight="1" x14ac:dyDescent="0.35">
      <c r="E48" s="18" t="s">
        <v>79</v>
      </c>
      <c r="G48" s="18" t="s">
        <v>80</v>
      </c>
      <c r="H48" s="19"/>
    </row>
    <row r="49" spans="5:8" ht="14.25" customHeight="1" x14ac:dyDescent="0.35">
      <c r="E49" s="19"/>
      <c r="G49" s="19"/>
      <c r="H49" s="19"/>
    </row>
    <row r="50" spans="5:8" ht="14.25" customHeight="1" x14ac:dyDescent="0.35">
      <c r="E50" s="19" t="s">
        <v>81</v>
      </c>
      <c r="G50" s="19" t="s">
        <v>82</v>
      </c>
    </row>
    <row r="51" spans="5:8" ht="14.25" customHeight="1" x14ac:dyDescent="0.35">
      <c r="G51" s="19"/>
    </row>
    <row r="52" spans="5:8" ht="14.25" customHeight="1" x14ac:dyDescent="0.35">
      <c r="G52" s="19" t="s">
        <v>83</v>
      </c>
      <c r="H52" s="19"/>
    </row>
    <row r="53" spans="5:8" ht="14.25" customHeight="1" x14ac:dyDescent="0.35">
      <c r="H53" s="19"/>
    </row>
    <row r="54" spans="5:8" ht="14.25" customHeight="1" x14ac:dyDescent="0.35">
      <c r="H54" s="19"/>
    </row>
    <row r="55" spans="5:8" ht="14.25" customHeight="1" x14ac:dyDescent="0.35"/>
    <row r="56" spans="5:8" ht="14.25" customHeight="1" x14ac:dyDescent="0.35"/>
    <row r="57" spans="5:8" ht="14.25" customHeight="1" x14ac:dyDescent="0.35"/>
    <row r="58" spans="5:8" ht="14.25" customHeight="1" x14ac:dyDescent="0.35">
      <c r="H58" s="17"/>
    </row>
    <row r="59" spans="5:8" ht="14.25" customHeight="1" x14ac:dyDescent="0.35"/>
    <row r="60" spans="5:8" ht="14.25" customHeight="1" x14ac:dyDescent="0.35"/>
    <row r="61" spans="5:8" ht="14.25" customHeight="1" x14ac:dyDescent="0.35">
      <c r="H61" s="19"/>
    </row>
    <row r="62" spans="5:8" ht="14.25" customHeight="1" x14ac:dyDescent="0.35">
      <c r="H62" s="19"/>
    </row>
    <row r="63" spans="5:8" ht="14.25" customHeight="1" x14ac:dyDescent="0.35">
      <c r="H63" s="19"/>
    </row>
    <row r="64" spans="5:8" ht="14.25" customHeight="1" x14ac:dyDescent="0.35">
      <c r="H64" s="19"/>
    </row>
    <row r="65" spans="3:9" ht="14.25" customHeight="1" x14ac:dyDescent="0.35"/>
    <row r="66" spans="3:9" ht="14.25" customHeight="1" x14ac:dyDescent="0.35"/>
    <row r="67" spans="3:9" ht="14.25" customHeight="1" x14ac:dyDescent="0.45">
      <c r="C67" s="22" t="s">
        <v>44</v>
      </c>
    </row>
    <row r="68" spans="3:9" ht="14.25" customHeight="1" x14ac:dyDescent="0.35"/>
    <row r="69" spans="3:9" ht="14.25" customHeight="1" x14ac:dyDescent="0.35"/>
    <row r="70" spans="3:9" ht="14.25" customHeight="1" x14ac:dyDescent="0.35">
      <c r="C70" s="18" t="s">
        <v>45</v>
      </c>
      <c r="D70" s="18" t="s">
        <v>46</v>
      </c>
      <c r="E70" s="18" t="s">
        <v>47</v>
      </c>
      <c r="F70" s="18" t="s">
        <v>48</v>
      </c>
      <c r="G70" s="18" t="s">
        <v>84</v>
      </c>
      <c r="H70" s="21" t="s">
        <v>85</v>
      </c>
      <c r="I70" s="21" t="s">
        <v>61</v>
      </c>
    </row>
    <row r="71" spans="3:9" ht="14.25" customHeight="1" x14ac:dyDescent="0.35">
      <c r="C71" s="18">
        <v>615.85</v>
      </c>
      <c r="D71" s="18">
        <v>27.09</v>
      </c>
      <c r="E71" s="18">
        <v>13.84</v>
      </c>
      <c r="F71" s="18">
        <f t="shared" ref="F71:F90" si="3">19.1765 + 0.04017*C71 - 1.17406*D71</f>
        <v>12.109909099999996</v>
      </c>
      <c r="G71" s="18">
        <f t="shared" ref="G71:G90" si="4">ABS(E71-F71)</f>
        <v>1.730090900000004</v>
      </c>
      <c r="H71" s="18">
        <f t="shared" ref="H71:H90" si="5">G71^2</f>
        <v>2.9932145222628237</v>
      </c>
      <c r="I71" s="18">
        <f>AVERAGE(H71:H90)</f>
        <v>1.6414760797959762</v>
      </c>
    </row>
    <row r="72" spans="3:9" ht="14.25" customHeight="1" x14ac:dyDescent="0.35">
      <c r="C72" s="18">
        <v>790.43</v>
      </c>
      <c r="D72" s="18">
        <v>23.39</v>
      </c>
      <c r="E72" s="18">
        <v>23.03</v>
      </c>
      <c r="F72" s="18">
        <f t="shared" si="3"/>
        <v>23.466809699999988</v>
      </c>
      <c r="G72" s="18">
        <f t="shared" si="4"/>
        <v>0.43680969999998709</v>
      </c>
      <c r="H72" s="18">
        <f t="shared" si="5"/>
        <v>0.19080271401407872</v>
      </c>
    </row>
    <row r="73" spans="3:9" ht="14.25" customHeight="1" x14ac:dyDescent="0.35">
      <c r="C73" s="18">
        <v>813.68</v>
      </c>
      <c r="D73" s="18">
        <v>30.53</v>
      </c>
      <c r="E73" s="18">
        <v>15.12</v>
      </c>
      <c r="F73" s="18">
        <f t="shared" si="3"/>
        <v>16.017973799999993</v>
      </c>
      <c r="G73" s="18">
        <f t="shared" si="4"/>
        <v>0.89797379999999372</v>
      </c>
      <c r="H73" s="18">
        <f t="shared" si="5"/>
        <v>0.80635694548642867</v>
      </c>
    </row>
    <row r="74" spans="3:9" ht="14.25" customHeight="1" x14ac:dyDescent="0.35">
      <c r="C74" s="18">
        <v>1042.43</v>
      </c>
      <c r="D74" s="18">
        <v>20.72</v>
      </c>
      <c r="E74" s="18">
        <v>37.26</v>
      </c>
      <c r="F74" s="18">
        <f t="shared" si="3"/>
        <v>36.724389900000006</v>
      </c>
      <c r="G74" s="18">
        <f t="shared" si="4"/>
        <v>0.53561009999999243</v>
      </c>
      <c r="H74" s="18">
        <f t="shared" si="5"/>
        <v>0.28687817922200187</v>
      </c>
    </row>
    <row r="75" spans="3:9" ht="14.25" customHeight="1" x14ac:dyDescent="0.35">
      <c r="C75" s="18">
        <v>1057.47</v>
      </c>
      <c r="D75" s="18">
        <v>21.27</v>
      </c>
      <c r="E75" s="18">
        <v>36.57</v>
      </c>
      <c r="F75" s="18">
        <f t="shared" si="3"/>
        <v>36.682813699999997</v>
      </c>
      <c r="G75" s="18">
        <f t="shared" si="4"/>
        <v>0.11281369999999669</v>
      </c>
      <c r="H75" s="18">
        <f t="shared" si="5"/>
        <v>1.2726930907689253E-2</v>
      </c>
    </row>
    <row r="76" spans="3:9" ht="14.25" customHeight="1" x14ac:dyDescent="0.35">
      <c r="C76" s="18">
        <v>865.67</v>
      </c>
      <c r="D76" s="18">
        <v>24.03</v>
      </c>
      <c r="E76" s="18">
        <v>22.95</v>
      </c>
      <c r="F76" s="18">
        <f t="shared" si="3"/>
        <v>25.7378021</v>
      </c>
      <c r="G76" s="18">
        <f t="shared" si="4"/>
        <v>2.7878021000000004</v>
      </c>
      <c r="H76" s="18">
        <f t="shared" si="5"/>
        <v>7.7718405487644118</v>
      </c>
    </row>
    <row r="77" spans="3:9" ht="14.25" customHeight="1" x14ac:dyDescent="0.35">
      <c r="C77" s="18">
        <v>822.44</v>
      </c>
      <c r="D77" s="18">
        <v>24.43</v>
      </c>
      <c r="E77" s="18">
        <v>25.49</v>
      </c>
      <c r="F77" s="18">
        <f t="shared" si="3"/>
        <v>23.531628999999995</v>
      </c>
      <c r="G77" s="18">
        <f t="shared" si="4"/>
        <v>1.9583710000000032</v>
      </c>
      <c r="H77" s="18">
        <f t="shared" si="5"/>
        <v>3.8352169736410127</v>
      </c>
    </row>
    <row r="78" spans="3:9" ht="14.25" customHeight="1" x14ac:dyDescent="0.35">
      <c r="C78" s="18">
        <v>1044.75</v>
      </c>
      <c r="D78" s="18">
        <v>21.51</v>
      </c>
      <c r="E78" s="18">
        <v>36.01</v>
      </c>
      <c r="F78" s="18">
        <f t="shared" si="3"/>
        <v>35.890076899999997</v>
      </c>
      <c r="G78" s="18">
        <f t="shared" si="4"/>
        <v>0.11992310000000117</v>
      </c>
      <c r="H78" s="18">
        <f t="shared" si="5"/>
        <v>1.438154991361028E-2</v>
      </c>
    </row>
    <row r="79" spans="3:9" ht="14.25" customHeight="1" x14ac:dyDescent="0.35">
      <c r="C79" s="18">
        <v>1121.0999999999999</v>
      </c>
      <c r="D79" s="18">
        <v>33.619999999999997</v>
      </c>
      <c r="E79" s="18">
        <v>25.61</v>
      </c>
      <c r="F79" s="18">
        <f t="shared" si="3"/>
        <v>24.739189799999991</v>
      </c>
      <c r="G79" s="18">
        <f t="shared" si="4"/>
        <v>0.87081020000000819</v>
      </c>
      <c r="H79" s="18">
        <f t="shared" si="5"/>
        <v>0.75831040442405429</v>
      </c>
    </row>
    <row r="80" spans="3:9" ht="14.25" customHeight="1" x14ac:dyDescent="0.35">
      <c r="C80" s="18">
        <v>972.44</v>
      </c>
      <c r="D80" s="18">
        <v>32.08</v>
      </c>
      <c r="E80" s="18">
        <v>18.649999999999999</v>
      </c>
      <c r="F80" s="18">
        <f t="shared" si="3"/>
        <v>20.575570000000006</v>
      </c>
      <c r="G80" s="18">
        <f t="shared" si="4"/>
        <v>1.9255700000000076</v>
      </c>
      <c r="H80" s="18">
        <f t="shared" si="5"/>
        <v>3.7078198249000289</v>
      </c>
    </row>
    <row r="81" spans="3:8" ht="14.25" customHeight="1" x14ac:dyDescent="0.35">
      <c r="C81" s="18">
        <v>1060.3399999999999</v>
      </c>
      <c r="D81" s="18">
        <v>19.82</v>
      </c>
      <c r="E81" s="18">
        <v>40.57</v>
      </c>
      <c r="F81" s="18">
        <f t="shared" si="3"/>
        <v>38.500488599999997</v>
      </c>
      <c r="G81" s="18">
        <f t="shared" si="4"/>
        <v>2.0695114000000032</v>
      </c>
      <c r="H81" s="18">
        <f t="shared" si="5"/>
        <v>4.282877434729973</v>
      </c>
    </row>
    <row r="82" spans="3:8" ht="14.25" customHeight="1" x14ac:dyDescent="0.35">
      <c r="C82" s="18">
        <v>1157.3800000000001</v>
      </c>
      <c r="D82" s="18">
        <v>24.28</v>
      </c>
      <c r="E82" s="18">
        <v>36.28</v>
      </c>
      <c r="F82" s="18">
        <f t="shared" si="3"/>
        <v>37.162277799999998</v>
      </c>
      <c r="G82" s="18">
        <f t="shared" si="4"/>
        <v>0.88227779999999711</v>
      </c>
      <c r="H82" s="18">
        <f t="shared" si="5"/>
        <v>0.77841411637283486</v>
      </c>
    </row>
    <row r="83" spans="3:8" ht="14.25" customHeight="1" x14ac:dyDescent="0.35">
      <c r="C83" s="18">
        <v>528.46</v>
      </c>
      <c r="D83" s="18">
        <v>21.96</v>
      </c>
      <c r="E83" s="18">
        <v>14.63</v>
      </c>
      <c r="F83" s="18">
        <f t="shared" si="3"/>
        <v>14.622380599999993</v>
      </c>
      <c r="G83" s="18">
        <f t="shared" si="4"/>
        <v>7.6194000000082696E-3</v>
      </c>
      <c r="H83" s="18">
        <f t="shared" si="5"/>
        <v>5.8055256360126018E-5</v>
      </c>
    </row>
    <row r="84" spans="3:8" ht="14.25" customHeight="1" x14ac:dyDescent="0.35">
      <c r="C84" s="18">
        <v>1112.97</v>
      </c>
      <c r="D84" s="18">
        <v>25.67</v>
      </c>
      <c r="E84" s="18">
        <v>31.61</v>
      </c>
      <c r="F84" s="18">
        <f t="shared" si="3"/>
        <v>33.746384699999993</v>
      </c>
      <c r="G84" s="18">
        <f t="shared" si="4"/>
        <v>2.1363846999999936</v>
      </c>
      <c r="H84" s="18">
        <f t="shared" si="5"/>
        <v>4.564139586394063</v>
      </c>
    </row>
    <row r="85" spans="3:8" ht="14.25" customHeight="1" x14ac:dyDescent="0.35">
      <c r="C85" s="18">
        <v>693.59</v>
      </c>
      <c r="D85" s="18">
        <v>22.7</v>
      </c>
      <c r="E85" s="18">
        <v>20.260000000000002</v>
      </c>
      <c r="F85" s="18">
        <f t="shared" si="3"/>
        <v>20.386848299999993</v>
      </c>
      <c r="G85" s="18">
        <f t="shared" si="4"/>
        <v>0.12684829999999181</v>
      </c>
      <c r="H85" s="18">
        <f t="shared" si="5"/>
        <v>1.6090491212887921E-2</v>
      </c>
    </row>
    <row r="86" spans="3:8" ht="14.25" customHeight="1" x14ac:dyDescent="0.35">
      <c r="C86" s="18">
        <v>833.04</v>
      </c>
      <c r="D86" s="18">
        <v>26.53</v>
      </c>
      <c r="E86" s="18">
        <v>21.14</v>
      </c>
      <c r="F86" s="18">
        <f t="shared" si="3"/>
        <v>21.491904999999999</v>
      </c>
      <c r="G86" s="18">
        <f t="shared" si="4"/>
        <v>0.35190499999999858</v>
      </c>
      <c r="H86" s="18">
        <f t="shared" si="5"/>
        <v>0.12383712902499901</v>
      </c>
    </row>
    <row r="87" spans="3:8" ht="14.25" customHeight="1" x14ac:dyDescent="0.35">
      <c r="C87" s="18">
        <v>1057.73</v>
      </c>
      <c r="D87" s="18">
        <v>33.68</v>
      </c>
      <c r="E87" s="18">
        <v>21.61</v>
      </c>
      <c r="F87" s="18">
        <f t="shared" si="3"/>
        <v>22.123173299999991</v>
      </c>
      <c r="G87" s="18">
        <f t="shared" si="4"/>
        <v>0.51317329999999117</v>
      </c>
      <c r="H87" s="18">
        <f t="shared" si="5"/>
        <v>0.26334683583288093</v>
      </c>
    </row>
    <row r="88" spans="3:8" ht="14.25" customHeight="1" x14ac:dyDescent="0.35">
      <c r="C88" s="18">
        <v>1002.07</v>
      </c>
      <c r="D88" s="18">
        <v>24.5</v>
      </c>
      <c r="E88" s="18">
        <v>31.34</v>
      </c>
      <c r="F88" s="18">
        <f t="shared" si="3"/>
        <v>30.665181899999993</v>
      </c>
      <c r="G88" s="18">
        <f t="shared" si="4"/>
        <v>0.67481810000000664</v>
      </c>
      <c r="H88" s="18">
        <f t="shared" si="5"/>
        <v>0.45537946808761898</v>
      </c>
    </row>
    <row r="89" spans="3:8" ht="14.25" customHeight="1" x14ac:dyDescent="0.35">
      <c r="C89" s="18">
        <v>603</v>
      </c>
      <c r="D89" s="18">
        <v>29.05</v>
      </c>
      <c r="E89" s="18">
        <v>9.35</v>
      </c>
      <c r="F89" s="18">
        <f t="shared" si="3"/>
        <v>9.2925669999999982</v>
      </c>
      <c r="G89" s="18">
        <f t="shared" si="4"/>
        <v>5.74330000000014E-2</v>
      </c>
      <c r="H89" s="18">
        <f t="shared" si="5"/>
        <v>3.2985494890001607E-3</v>
      </c>
    </row>
    <row r="90" spans="3:8" ht="14.25" customHeight="1" x14ac:dyDescent="0.35">
      <c r="C90" s="18">
        <v>961.12</v>
      </c>
      <c r="D90" s="18">
        <v>28.13</v>
      </c>
      <c r="E90" s="18">
        <v>26.16</v>
      </c>
      <c r="F90" s="18">
        <f t="shared" si="3"/>
        <v>24.758382599999997</v>
      </c>
      <c r="G90" s="18">
        <f t="shared" si="4"/>
        <v>1.4016174000000028</v>
      </c>
      <c r="H90" s="18">
        <f t="shared" si="5"/>
        <v>1.9645313359827679</v>
      </c>
    </row>
    <row r="91" spans="3:8" ht="14.25" customHeight="1" x14ac:dyDescent="0.35"/>
    <row r="92" spans="3:8" ht="14.25" customHeight="1" x14ac:dyDescent="0.35"/>
    <row r="93" spans="3:8" ht="14.25" customHeight="1" x14ac:dyDescent="0.35"/>
    <row r="94" spans="3:8" ht="14.25" customHeight="1" x14ac:dyDescent="0.35"/>
    <row r="95" spans="3:8" ht="14.25" customHeight="1" x14ac:dyDescent="0.35"/>
    <row r="96" spans="3:8" ht="14.25" customHeight="1" x14ac:dyDescent="0.35"/>
    <row r="97" spans="3:10" ht="14.25" customHeight="1" x14ac:dyDescent="0.35"/>
    <row r="98" spans="3:10" ht="14.25" customHeight="1" x14ac:dyDescent="0.35"/>
    <row r="99" spans="3:10" ht="14.25" customHeight="1" x14ac:dyDescent="0.4">
      <c r="C99" s="58" t="s">
        <v>50</v>
      </c>
      <c r="D99" s="59"/>
      <c r="E99" s="59"/>
      <c r="F99" s="59"/>
      <c r="G99" s="59"/>
      <c r="H99" s="59"/>
      <c r="I99" s="59"/>
      <c r="J99" s="59"/>
    </row>
    <row r="100" spans="3:10" ht="14.25" customHeight="1" x14ac:dyDescent="0.4">
      <c r="C100" s="61" t="s">
        <v>49</v>
      </c>
      <c r="D100" s="59"/>
      <c r="E100" s="59"/>
      <c r="F100" s="59"/>
      <c r="G100" s="59"/>
      <c r="H100" s="59"/>
      <c r="I100" s="59"/>
      <c r="J100" s="59"/>
    </row>
    <row r="101" spans="3:10" ht="14.25" customHeight="1" x14ac:dyDescent="0.4">
      <c r="C101" s="59"/>
      <c r="D101" s="59"/>
      <c r="E101" s="59"/>
      <c r="F101" s="59"/>
      <c r="G101" s="59"/>
      <c r="H101" s="59"/>
      <c r="I101" s="59"/>
      <c r="J101" s="59"/>
    </row>
    <row r="102" spans="3:10" ht="14.25" customHeight="1" x14ac:dyDescent="0.4">
      <c r="C102" s="58" t="s">
        <v>51</v>
      </c>
      <c r="D102" s="58" t="s">
        <v>52</v>
      </c>
      <c r="E102" s="58" t="s">
        <v>53</v>
      </c>
      <c r="F102" s="58" t="s">
        <v>54</v>
      </c>
      <c r="G102" s="58" t="s">
        <v>55</v>
      </c>
      <c r="H102" s="58" t="s">
        <v>85</v>
      </c>
      <c r="I102" s="58" t="s">
        <v>61</v>
      </c>
      <c r="J102" s="59"/>
    </row>
    <row r="103" spans="3:10" ht="14.25" customHeight="1" x14ac:dyDescent="0.4">
      <c r="C103" s="61">
        <v>1089.03</v>
      </c>
      <c r="D103" s="61">
        <v>22.71</v>
      </c>
      <c r="E103" s="61">
        <v>37.33</v>
      </c>
      <c r="F103" s="61">
        <f t="shared" ref="F103:F132" si="6">18.8663+0.04028*C103-1.16849*D103</f>
        <v>36.196020500000003</v>
      </c>
      <c r="G103" s="61">
        <f t="shared" ref="G103:G132" si="7">ABS(E103-F103)</f>
        <v>1.1339794999999953</v>
      </c>
      <c r="H103" s="61">
        <f t="shared" ref="H103:H132" si="8">G103^2</f>
        <v>1.2859095064202393</v>
      </c>
      <c r="I103" s="61">
        <f>AVERAGE(H103:H132)</f>
        <v>1.4786157100843753</v>
      </c>
      <c r="J103" s="59"/>
    </row>
    <row r="104" spans="3:10" ht="14.25" customHeight="1" x14ac:dyDescent="0.4">
      <c r="C104" s="61">
        <v>591.78</v>
      </c>
      <c r="D104" s="61">
        <v>20.05</v>
      </c>
      <c r="E104" s="61">
        <v>18.5</v>
      </c>
      <c r="F104" s="61">
        <f t="shared" si="6"/>
        <v>19.274973900000003</v>
      </c>
      <c r="G104" s="61">
        <f t="shared" si="7"/>
        <v>0.77497390000000266</v>
      </c>
      <c r="H104" s="61">
        <f t="shared" si="8"/>
        <v>0.60058454568121411</v>
      </c>
      <c r="I104" s="59"/>
      <c r="J104" s="59"/>
    </row>
    <row r="105" spans="3:10" ht="14.25" customHeight="1" x14ac:dyDescent="0.4">
      <c r="C105" s="61">
        <v>716.11</v>
      </c>
      <c r="D105" s="61">
        <v>33.479999999999997</v>
      </c>
      <c r="E105" s="61">
        <v>8.39</v>
      </c>
      <c r="F105" s="61">
        <f t="shared" si="6"/>
        <v>8.590165600000006</v>
      </c>
      <c r="G105" s="61">
        <f t="shared" si="7"/>
        <v>0.20016560000000538</v>
      </c>
      <c r="H105" s="61">
        <f t="shared" si="8"/>
        <v>4.0066267423362154E-2</v>
      </c>
      <c r="I105" s="59"/>
      <c r="J105" s="59"/>
    </row>
    <row r="106" spans="3:10" ht="14.25" customHeight="1" x14ac:dyDescent="0.4">
      <c r="C106" s="61">
        <v>824.1</v>
      </c>
      <c r="D106" s="61">
        <v>18.52</v>
      </c>
      <c r="E106" s="61">
        <v>31.82</v>
      </c>
      <c r="F106" s="61">
        <f t="shared" si="6"/>
        <v>30.420613199999998</v>
      </c>
      <c r="G106" s="61">
        <f t="shared" si="7"/>
        <v>1.399386800000002</v>
      </c>
      <c r="H106" s="61">
        <f t="shared" si="8"/>
        <v>1.9582834160142457</v>
      </c>
      <c r="I106" s="59"/>
      <c r="J106" s="59"/>
    </row>
    <row r="107" spans="3:10" ht="14.25" customHeight="1" x14ac:dyDescent="0.4">
      <c r="C107" s="61">
        <v>1019.29</v>
      </c>
      <c r="D107" s="61">
        <v>29.43</v>
      </c>
      <c r="E107" s="61">
        <v>25.26</v>
      </c>
      <c r="F107" s="61">
        <f t="shared" si="6"/>
        <v>25.534640499999995</v>
      </c>
      <c r="G107" s="61">
        <f t="shared" si="7"/>
        <v>0.27464049999999318</v>
      </c>
      <c r="H107" s="61">
        <f t="shared" si="8"/>
        <v>7.5427404240246257E-2</v>
      </c>
      <c r="I107" s="59"/>
      <c r="J107" s="59"/>
    </row>
    <row r="108" spans="3:10" ht="14.25" customHeight="1" x14ac:dyDescent="0.4">
      <c r="C108" s="61">
        <v>840.08</v>
      </c>
      <c r="D108" s="61">
        <v>19.21</v>
      </c>
      <c r="E108" s="61">
        <v>29.77</v>
      </c>
      <c r="F108" s="61">
        <f t="shared" si="6"/>
        <v>30.258029500000006</v>
      </c>
      <c r="G108" s="61">
        <f t="shared" si="7"/>
        <v>0.48802950000000678</v>
      </c>
      <c r="H108" s="61">
        <f t="shared" si="8"/>
        <v>0.23817279287025661</v>
      </c>
      <c r="I108" s="59"/>
      <c r="J108" s="59"/>
    </row>
    <row r="109" spans="3:10" ht="14.25" customHeight="1" x14ac:dyDescent="0.4">
      <c r="C109" s="61">
        <v>595.80999999999995</v>
      </c>
      <c r="D109" s="61">
        <v>24.13</v>
      </c>
      <c r="E109" s="61">
        <v>16.329999999999998</v>
      </c>
      <c r="F109" s="61">
        <f t="shared" si="6"/>
        <v>14.669863099999997</v>
      </c>
      <c r="G109" s="61">
        <f t="shared" si="7"/>
        <v>1.6601369000000012</v>
      </c>
      <c r="H109" s="61">
        <f t="shared" si="8"/>
        <v>2.7560545267416141</v>
      </c>
      <c r="I109" s="59"/>
      <c r="J109" s="59"/>
    </row>
    <row r="110" spans="3:10" ht="14.25" customHeight="1" x14ac:dyDescent="0.4">
      <c r="C110" s="61">
        <v>740.48</v>
      </c>
      <c r="D110" s="61">
        <v>25.11</v>
      </c>
      <c r="E110" s="61">
        <v>19.64</v>
      </c>
      <c r="F110" s="61">
        <f t="shared" si="6"/>
        <v>19.352050500000001</v>
      </c>
      <c r="G110" s="61">
        <f t="shared" si="7"/>
        <v>0.28794949999999986</v>
      </c>
      <c r="H110" s="61">
        <f t="shared" si="8"/>
        <v>8.2914914550249921E-2</v>
      </c>
      <c r="I110" s="59"/>
      <c r="J110" s="59"/>
    </row>
    <row r="111" spans="3:10" ht="14.25" customHeight="1" x14ac:dyDescent="0.4">
      <c r="C111" s="61">
        <v>727.1</v>
      </c>
      <c r="D111" s="61">
        <v>21.08</v>
      </c>
      <c r="E111" s="61">
        <v>24.38</v>
      </c>
      <c r="F111" s="61">
        <f t="shared" si="6"/>
        <v>23.522118800000005</v>
      </c>
      <c r="G111" s="61">
        <f t="shared" si="7"/>
        <v>0.85788119999999424</v>
      </c>
      <c r="H111" s="61">
        <f t="shared" si="8"/>
        <v>0.73596015331343012</v>
      </c>
      <c r="I111" s="59"/>
      <c r="J111" s="59"/>
    </row>
    <row r="112" spans="3:10" ht="14.25" customHeight="1" x14ac:dyDescent="0.4">
      <c r="C112" s="61">
        <v>710.29</v>
      </c>
      <c r="D112" s="61">
        <v>26.86</v>
      </c>
      <c r="E112" s="61">
        <v>17.940000000000001</v>
      </c>
      <c r="F112" s="61">
        <f t="shared" si="6"/>
        <v>16.091139800000004</v>
      </c>
      <c r="G112" s="61">
        <f t="shared" si="7"/>
        <v>1.8488601999999972</v>
      </c>
      <c r="H112" s="61">
        <f t="shared" si="8"/>
        <v>3.4182840391440297</v>
      </c>
      <c r="I112" s="59"/>
      <c r="J112" s="59"/>
    </row>
    <row r="113" spans="3:10" ht="14.25" customHeight="1" x14ac:dyDescent="0.4">
      <c r="C113" s="61">
        <v>615.85</v>
      </c>
      <c r="D113" s="61">
        <v>27.09</v>
      </c>
      <c r="E113" s="61">
        <v>13.84</v>
      </c>
      <c r="F113" s="61">
        <f t="shared" si="6"/>
        <v>12.018343900000001</v>
      </c>
      <c r="G113" s="61">
        <f t="shared" si="7"/>
        <v>1.8216560999999984</v>
      </c>
      <c r="H113" s="61">
        <f t="shared" si="8"/>
        <v>3.3184309466672044</v>
      </c>
      <c r="I113" s="59"/>
      <c r="J113" s="59"/>
    </row>
    <row r="114" spans="3:10" ht="14.25" customHeight="1" x14ac:dyDescent="0.4">
      <c r="C114" s="61">
        <v>790.43</v>
      </c>
      <c r="D114" s="61">
        <v>23.39</v>
      </c>
      <c r="E114" s="61">
        <v>23.03</v>
      </c>
      <c r="F114" s="61">
        <f t="shared" si="6"/>
        <v>23.3738393</v>
      </c>
      <c r="G114" s="61">
        <f t="shared" si="7"/>
        <v>0.34383929999999907</v>
      </c>
      <c r="H114" s="61">
        <f t="shared" si="8"/>
        <v>0.11822546422448936</v>
      </c>
      <c r="I114" s="59"/>
      <c r="J114" s="59"/>
    </row>
    <row r="115" spans="3:10" ht="14.25" customHeight="1" x14ac:dyDescent="0.4">
      <c r="C115" s="61">
        <v>813.68</v>
      </c>
      <c r="D115" s="61">
        <v>30.53</v>
      </c>
      <c r="E115" s="61">
        <v>15.12</v>
      </c>
      <c r="F115" s="61">
        <f t="shared" si="6"/>
        <v>15.967330699999998</v>
      </c>
      <c r="G115" s="61">
        <f t="shared" si="7"/>
        <v>0.84733069999999877</v>
      </c>
      <c r="H115" s="61">
        <f t="shared" si="8"/>
        <v>0.71796931516248796</v>
      </c>
      <c r="I115" s="59"/>
      <c r="J115" s="59"/>
    </row>
    <row r="116" spans="3:10" ht="14.25" customHeight="1" x14ac:dyDescent="0.4">
      <c r="C116" s="61">
        <v>1042.43</v>
      </c>
      <c r="D116" s="61">
        <v>20.72</v>
      </c>
      <c r="E116" s="61">
        <v>37.26</v>
      </c>
      <c r="F116" s="61">
        <f t="shared" si="6"/>
        <v>36.644267600000006</v>
      </c>
      <c r="G116" s="61">
        <f t="shared" si="7"/>
        <v>0.61573239999999174</v>
      </c>
      <c r="H116" s="61">
        <f t="shared" si="8"/>
        <v>0.37912638840974983</v>
      </c>
      <c r="I116" s="59"/>
      <c r="J116" s="59"/>
    </row>
    <row r="117" spans="3:10" ht="14.25" customHeight="1" x14ac:dyDescent="0.4">
      <c r="C117" s="61">
        <v>1057.47</v>
      </c>
      <c r="D117" s="61">
        <v>21.27</v>
      </c>
      <c r="E117" s="61">
        <v>36.57</v>
      </c>
      <c r="F117" s="61">
        <f t="shared" si="6"/>
        <v>36.607409300000008</v>
      </c>
      <c r="G117" s="61">
        <f t="shared" si="7"/>
        <v>3.7409300000007306E-2</v>
      </c>
      <c r="H117" s="61">
        <f t="shared" si="8"/>
        <v>1.3994557264905467E-3</v>
      </c>
      <c r="I117" s="59"/>
      <c r="J117" s="59"/>
    </row>
    <row r="118" spans="3:10" ht="14.25" customHeight="1" x14ac:dyDescent="0.4">
      <c r="C118" s="61">
        <v>865.67</v>
      </c>
      <c r="D118" s="61">
        <v>24.03</v>
      </c>
      <c r="E118" s="61">
        <v>22.95</v>
      </c>
      <c r="F118" s="61">
        <f t="shared" si="6"/>
        <v>25.656672899999997</v>
      </c>
      <c r="G118" s="61">
        <f t="shared" si="7"/>
        <v>2.7066728999999974</v>
      </c>
      <c r="H118" s="61">
        <f t="shared" si="8"/>
        <v>7.3260781875943959</v>
      </c>
      <c r="I118" s="59"/>
      <c r="J118" s="59"/>
    </row>
    <row r="119" spans="3:10" ht="14.25" customHeight="1" x14ac:dyDescent="0.4">
      <c r="C119" s="61">
        <v>822.44</v>
      </c>
      <c r="D119" s="61">
        <v>24.43</v>
      </c>
      <c r="E119" s="61">
        <v>25.49</v>
      </c>
      <c r="F119" s="61">
        <f t="shared" si="6"/>
        <v>23.447972500000009</v>
      </c>
      <c r="G119" s="61">
        <f t="shared" si="7"/>
        <v>2.042027499999989</v>
      </c>
      <c r="H119" s="61">
        <f t="shared" si="8"/>
        <v>4.1698763107562051</v>
      </c>
      <c r="I119" s="59"/>
      <c r="J119" s="59"/>
    </row>
    <row r="120" spans="3:10" ht="14.25" customHeight="1" x14ac:dyDescent="0.4">
      <c r="C120" s="61">
        <v>1044.75</v>
      </c>
      <c r="D120" s="61">
        <v>21.51</v>
      </c>
      <c r="E120" s="61">
        <v>36.01</v>
      </c>
      <c r="F120" s="61">
        <f t="shared" si="6"/>
        <v>35.814610099999996</v>
      </c>
      <c r="G120" s="61">
        <f t="shared" si="7"/>
        <v>0.19538990000000211</v>
      </c>
      <c r="H120" s="61">
        <f t="shared" si="8"/>
        <v>3.8177213022010825E-2</v>
      </c>
      <c r="I120" s="59"/>
      <c r="J120" s="59"/>
    </row>
    <row r="121" spans="3:10" ht="14.25" customHeight="1" x14ac:dyDescent="0.4">
      <c r="C121" s="61">
        <v>1121.0999999999999</v>
      </c>
      <c r="D121" s="61">
        <v>33.619999999999997</v>
      </c>
      <c r="E121" s="61">
        <v>25.61</v>
      </c>
      <c r="F121" s="61">
        <f t="shared" si="6"/>
        <v>24.739574200000007</v>
      </c>
      <c r="G121" s="61">
        <f t="shared" si="7"/>
        <v>0.87042579999999248</v>
      </c>
      <c r="H121" s="61">
        <f t="shared" si="8"/>
        <v>0.75764107330562691</v>
      </c>
      <c r="I121" s="59"/>
      <c r="J121" s="59"/>
    </row>
    <row r="122" spans="3:10" ht="14.25" customHeight="1" x14ac:dyDescent="0.4">
      <c r="C122" s="61">
        <v>972.44</v>
      </c>
      <c r="D122" s="61">
        <v>32.08</v>
      </c>
      <c r="E122" s="61">
        <v>18.649999999999999</v>
      </c>
      <c r="F122" s="61">
        <f t="shared" si="6"/>
        <v>20.551024000000012</v>
      </c>
      <c r="G122" s="61">
        <f t="shared" si="7"/>
        <v>1.9010240000000138</v>
      </c>
      <c r="H122" s="61">
        <f t="shared" si="8"/>
        <v>3.6138922485760525</v>
      </c>
      <c r="I122" s="59"/>
      <c r="J122" s="59"/>
    </row>
    <row r="123" spans="3:10" ht="14.25" customHeight="1" x14ac:dyDescent="0.4">
      <c r="C123" s="61">
        <v>1060.3399999999999</v>
      </c>
      <c r="D123" s="61">
        <v>19.82</v>
      </c>
      <c r="E123" s="61">
        <v>40.57</v>
      </c>
      <c r="F123" s="61">
        <f t="shared" si="6"/>
        <v>38.417323399999987</v>
      </c>
      <c r="G123" s="61">
        <f t="shared" si="7"/>
        <v>2.1526766000000137</v>
      </c>
      <c r="H123" s="61">
        <f t="shared" si="8"/>
        <v>4.6340165441876193</v>
      </c>
      <c r="I123" s="59"/>
      <c r="J123" s="59"/>
    </row>
    <row r="124" spans="3:10" ht="14.25" customHeight="1" x14ac:dyDescent="0.4">
      <c r="C124" s="61">
        <v>1157.3800000000001</v>
      </c>
      <c r="D124" s="61">
        <v>24.28</v>
      </c>
      <c r="E124" s="61">
        <v>36.28</v>
      </c>
      <c r="F124" s="61">
        <f t="shared" si="6"/>
        <v>37.11462920000001</v>
      </c>
      <c r="G124" s="61">
        <f t="shared" si="7"/>
        <v>0.83462920000000906</v>
      </c>
      <c r="H124" s="61">
        <f t="shared" si="8"/>
        <v>0.69660590149265511</v>
      </c>
      <c r="I124" s="59"/>
      <c r="J124" s="59"/>
    </row>
    <row r="125" spans="3:10" ht="14.25" customHeight="1" x14ac:dyDescent="0.4">
      <c r="C125" s="61">
        <v>528.46</v>
      </c>
      <c r="D125" s="61">
        <v>21.96</v>
      </c>
      <c r="E125" s="61">
        <v>14.63</v>
      </c>
      <c r="F125" s="61">
        <f t="shared" si="6"/>
        <v>14.492628399999997</v>
      </c>
      <c r="G125" s="61">
        <f t="shared" si="7"/>
        <v>0.13737160000000337</v>
      </c>
      <c r="H125" s="61">
        <f t="shared" si="8"/>
        <v>1.8870956486560925E-2</v>
      </c>
      <c r="I125" s="59"/>
      <c r="J125" s="59"/>
    </row>
    <row r="126" spans="3:10" ht="14.25" customHeight="1" x14ac:dyDescent="0.4">
      <c r="C126" s="61">
        <v>1112.97</v>
      </c>
      <c r="D126" s="61">
        <v>25.67</v>
      </c>
      <c r="E126" s="61">
        <v>31.61</v>
      </c>
      <c r="F126" s="61">
        <f t="shared" si="6"/>
        <v>33.701593299999999</v>
      </c>
      <c r="G126" s="61">
        <f t="shared" si="7"/>
        <v>2.0915932999999995</v>
      </c>
      <c r="H126" s="61">
        <f t="shared" si="8"/>
        <v>4.3747625326048878</v>
      </c>
      <c r="I126" s="59"/>
      <c r="J126" s="59"/>
    </row>
    <row r="127" spans="3:10" ht="14.25" customHeight="1" x14ac:dyDescent="0.4">
      <c r="C127" s="61">
        <v>693.59</v>
      </c>
      <c r="D127" s="61">
        <v>22.7</v>
      </c>
      <c r="E127" s="61">
        <v>20.260000000000002</v>
      </c>
      <c r="F127" s="61">
        <f t="shared" si="6"/>
        <v>20.279382200000004</v>
      </c>
      <c r="G127" s="61">
        <f t="shared" si="7"/>
        <v>1.938220000000257E-2</v>
      </c>
      <c r="H127" s="61">
        <f t="shared" si="8"/>
        <v>3.7566967684009962E-4</v>
      </c>
      <c r="I127" s="59"/>
      <c r="J127" s="59"/>
    </row>
    <row r="128" spans="3:10" ht="14.25" customHeight="1" x14ac:dyDescent="0.4">
      <c r="C128" s="61">
        <v>833.04</v>
      </c>
      <c r="D128" s="61">
        <v>26.53</v>
      </c>
      <c r="E128" s="61">
        <v>21.14</v>
      </c>
      <c r="F128" s="61">
        <f t="shared" si="6"/>
        <v>21.421111499999995</v>
      </c>
      <c r="G128" s="61">
        <f t="shared" si="7"/>
        <v>0.28111149999999441</v>
      </c>
      <c r="H128" s="61">
        <f t="shared" si="8"/>
        <v>7.9023675432246851E-2</v>
      </c>
      <c r="I128" s="59"/>
      <c r="J128" s="59"/>
    </row>
    <row r="129" spans="3:10" ht="14.25" customHeight="1" x14ac:dyDescent="0.4">
      <c r="C129" s="61">
        <v>1057.73</v>
      </c>
      <c r="D129" s="61">
        <v>33.68</v>
      </c>
      <c r="E129" s="61">
        <v>21.61</v>
      </c>
      <c r="F129" s="61">
        <f t="shared" si="6"/>
        <v>22.116921200000007</v>
      </c>
      <c r="G129" s="61">
        <f t="shared" si="7"/>
        <v>0.50692120000000784</v>
      </c>
      <c r="H129" s="61">
        <f t="shared" si="8"/>
        <v>0.25696910300944797</v>
      </c>
      <c r="I129" s="59"/>
      <c r="J129" s="59"/>
    </row>
    <row r="130" spans="3:10" ht="14.25" customHeight="1" x14ac:dyDescent="0.4">
      <c r="C130" s="61">
        <v>1002.07</v>
      </c>
      <c r="D130" s="61">
        <v>24.5</v>
      </c>
      <c r="E130" s="61">
        <v>31.34</v>
      </c>
      <c r="F130" s="61">
        <f t="shared" si="6"/>
        <v>30.601674599999996</v>
      </c>
      <c r="G130" s="61">
        <f t="shared" si="7"/>
        <v>0.73832540000000435</v>
      </c>
      <c r="H130" s="61">
        <f t="shared" si="8"/>
        <v>0.5451243962851664</v>
      </c>
      <c r="I130" s="59"/>
      <c r="J130" s="59"/>
    </row>
    <row r="131" spans="3:10" ht="14.25" customHeight="1" x14ac:dyDescent="0.4">
      <c r="C131" s="61">
        <v>603</v>
      </c>
      <c r="D131" s="61">
        <v>29.05</v>
      </c>
      <c r="E131" s="61">
        <v>9.35</v>
      </c>
      <c r="F131" s="61">
        <f t="shared" si="6"/>
        <v>9.2105055000000036</v>
      </c>
      <c r="G131" s="61">
        <f t="shared" si="7"/>
        <v>0.13949449999999608</v>
      </c>
      <c r="H131" s="61">
        <f t="shared" si="8"/>
        <v>1.9458715530248905E-2</v>
      </c>
      <c r="I131" s="59"/>
      <c r="J131" s="59"/>
    </row>
    <row r="132" spans="3:10" ht="14.25" customHeight="1" x14ac:dyDescent="0.4">
      <c r="C132" s="61">
        <v>961.12</v>
      </c>
      <c r="D132" s="61">
        <v>28.13</v>
      </c>
      <c r="E132" s="61">
        <v>26.16</v>
      </c>
      <c r="F132" s="61">
        <f t="shared" si="6"/>
        <v>24.710589900000009</v>
      </c>
      <c r="G132" s="61">
        <f t="shared" si="7"/>
        <v>1.4494100999999908</v>
      </c>
      <c r="H132" s="61">
        <f t="shared" si="8"/>
        <v>2.1007896379819835</v>
      </c>
      <c r="I132" s="59"/>
      <c r="J132" s="59"/>
    </row>
    <row r="133" spans="3:10" ht="14.25" customHeight="1" x14ac:dyDescent="0.4">
      <c r="C133" s="59"/>
      <c r="D133" s="59"/>
      <c r="E133" s="59"/>
      <c r="F133" s="59"/>
      <c r="G133" s="59"/>
      <c r="H133" s="59"/>
      <c r="I133" s="59"/>
      <c r="J133" s="59"/>
    </row>
    <row r="134" spans="3:10" ht="14.25" customHeight="1" x14ac:dyDescent="0.4">
      <c r="C134" s="59"/>
      <c r="D134" s="59"/>
      <c r="E134" s="59"/>
      <c r="F134" s="59"/>
      <c r="G134" s="59"/>
      <c r="H134" s="59"/>
      <c r="I134" s="59"/>
      <c r="J134" s="59"/>
    </row>
    <row r="135" spans="3:10" ht="14.25" customHeight="1" x14ac:dyDescent="0.4">
      <c r="C135" s="59"/>
      <c r="D135" s="59"/>
      <c r="E135" s="59"/>
      <c r="F135" s="59"/>
      <c r="G135" s="59"/>
      <c r="H135" s="59"/>
      <c r="I135" s="59"/>
      <c r="J135" s="59"/>
    </row>
    <row r="136" spans="3:10" ht="14.25" customHeight="1" x14ac:dyDescent="0.4">
      <c r="C136" s="59"/>
      <c r="D136" s="59"/>
      <c r="E136" s="59"/>
      <c r="F136" s="59"/>
      <c r="G136" s="59"/>
      <c r="H136" s="59"/>
      <c r="I136" s="59"/>
      <c r="J136" s="59"/>
    </row>
    <row r="137" spans="3:10" ht="14.25" customHeight="1" x14ac:dyDescent="0.4">
      <c r="C137" s="58" t="s">
        <v>56</v>
      </c>
      <c r="D137" s="61"/>
      <c r="E137" s="59"/>
      <c r="F137" s="59"/>
      <c r="G137" s="59"/>
      <c r="H137" s="59"/>
      <c r="I137" s="59"/>
      <c r="J137" s="59"/>
    </row>
    <row r="138" spans="3:10" ht="14.25" customHeight="1" x14ac:dyDescent="0.4">
      <c r="C138" s="58" t="s">
        <v>57</v>
      </c>
      <c r="D138" s="59"/>
      <c r="E138" s="59"/>
      <c r="F138" s="59"/>
      <c r="G138" s="59"/>
      <c r="H138" s="59"/>
      <c r="I138" s="59"/>
      <c r="J138" s="59"/>
    </row>
    <row r="139" spans="3:10" ht="14.25" customHeight="1" x14ac:dyDescent="0.4">
      <c r="C139" s="59"/>
      <c r="D139" s="59"/>
      <c r="E139" s="59"/>
      <c r="F139" s="59"/>
      <c r="G139" s="59"/>
      <c r="H139" s="59"/>
      <c r="I139" s="59"/>
      <c r="J139" s="59"/>
    </row>
    <row r="140" spans="3:10" ht="14.25" customHeight="1" x14ac:dyDescent="0.4">
      <c r="C140" s="58" t="s">
        <v>8</v>
      </c>
      <c r="D140" s="58" t="s">
        <v>9</v>
      </c>
      <c r="E140" s="58" t="s">
        <v>10</v>
      </c>
      <c r="F140" s="58" t="s">
        <v>54</v>
      </c>
      <c r="G140" s="58" t="s">
        <v>55</v>
      </c>
      <c r="H140" s="58" t="s">
        <v>85</v>
      </c>
      <c r="I140" s="58" t="s">
        <v>61</v>
      </c>
      <c r="J140" s="59"/>
    </row>
    <row r="141" spans="3:10" ht="14.25" customHeight="1" x14ac:dyDescent="0.4">
      <c r="C141" s="61">
        <v>1168.83</v>
      </c>
      <c r="D141" s="61">
        <v>18.18</v>
      </c>
      <c r="E141" s="61">
        <v>44.05</v>
      </c>
      <c r="F141" s="61">
        <f t="shared" ref="F141:F180" si="9">18.6947+0.04119*C141-1.19176*D141</f>
        <v>45.172610899999995</v>
      </c>
      <c r="G141" s="61">
        <f t="shared" ref="G141:G180" si="10">ABS(E141-F141)</f>
        <v>1.122610899999998</v>
      </c>
      <c r="H141" s="61">
        <f t="shared" ref="H141:H180" si="11">G141^2</f>
        <v>1.2602552327988055</v>
      </c>
      <c r="I141" s="61">
        <f>AVERAGE(H141:H180)</f>
        <v>1.5049135489424601</v>
      </c>
      <c r="J141" s="59"/>
    </row>
    <row r="142" spans="3:10" ht="14.25" customHeight="1" x14ac:dyDescent="0.4">
      <c r="C142" s="61">
        <v>978.04</v>
      </c>
      <c r="D142" s="61">
        <v>32.119999999999997</v>
      </c>
      <c r="E142" s="61">
        <v>20.64</v>
      </c>
      <c r="F142" s="61">
        <f t="shared" si="9"/>
        <v>20.700836400000007</v>
      </c>
      <c r="G142" s="61">
        <f t="shared" si="10"/>
        <v>6.0836400000006563E-2</v>
      </c>
      <c r="H142" s="61">
        <f t="shared" si="11"/>
        <v>3.7010675649607984E-3</v>
      </c>
      <c r="I142" s="59"/>
      <c r="J142" s="59"/>
    </row>
    <row r="143" spans="3:10" ht="14.25" customHeight="1" x14ac:dyDescent="0.4">
      <c r="C143" s="61">
        <v>537.19000000000005</v>
      </c>
      <c r="D143" s="61">
        <v>33.75</v>
      </c>
      <c r="E143" s="61">
        <v>0.69</v>
      </c>
      <c r="F143" s="61">
        <f t="shared" si="9"/>
        <v>0.59965610000000424</v>
      </c>
      <c r="G143" s="61">
        <f t="shared" si="10"/>
        <v>9.0343899999995703E-2</v>
      </c>
      <c r="H143" s="61">
        <f t="shared" si="11"/>
        <v>8.1620202672092242E-3</v>
      </c>
      <c r="I143" s="59"/>
      <c r="J143" s="59"/>
    </row>
    <row r="144" spans="3:10" ht="14.25" customHeight="1" x14ac:dyDescent="0.4">
      <c r="C144" s="61">
        <v>716.2</v>
      </c>
      <c r="D144" s="61">
        <v>25.8</v>
      </c>
      <c r="E144" s="61">
        <v>18.579999999999998</v>
      </c>
      <c r="F144" s="61">
        <f t="shared" si="9"/>
        <v>17.447570000000006</v>
      </c>
      <c r="G144" s="61">
        <f t="shared" si="10"/>
        <v>1.1324299999999923</v>
      </c>
      <c r="H144" s="61">
        <f t="shared" si="11"/>
        <v>1.2823977048999826</v>
      </c>
      <c r="I144" s="59"/>
      <c r="J144" s="59"/>
    </row>
    <row r="145" spans="3:10" ht="14.25" customHeight="1" x14ac:dyDescent="0.4">
      <c r="C145" s="61">
        <v>914.82</v>
      </c>
      <c r="D145" s="61">
        <v>31.11</v>
      </c>
      <c r="E145" s="61">
        <v>19.52</v>
      </c>
      <c r="F145" s="61">
        <f t="shared" si="9"/>
        <v>19.300482200000005</v>
      </c>
      <c r="G145" s="61">
        <f t="shared" si="10"/>
        <v>0.21951779999999488</v>
      </c>
      <c r="H145" s="61">
        <f t="shared" si="11"/>
        <v>4.8188064516837749E-2</v>
      </c>
      <c r="I145" s="59"/>
      <c r="J145" s="59"/>
    </row>
    <row r="146" spans="3:10" ht="14.25" customHeight="1" x14ac:dyDescent="0.4">
      <c r="C146" s="61">
        <v>664.58</v>
      </c>
      <c r="D146" s="61">
        <v>32.729999999999997</v>
      </c>
      <c r="E146" s="61">
        <v>9.92</v>
      </c>
      <c r="F146" s="61">
        <f t="shared" si="9"/>
        <v>7.0624454000000014</v>
      </c>
      <c r="G146" s="61">
        <f t="shared" si="10"/>
        <v>2.8575545999999985</v>
      </c>
      <c r="H146" s="61">
        <f t="shared" si="11"/>
        <v>8.1656182919811506</v>
      </c>
      <c r="I146" s="59"/>
      <c r="J146" s="59"/>
    </row>
    <row r="147" spans="3:10" ht="14.25" customHeight="1" x14ac:dyDescent="0.4">
      <c r="C147" s="61">
        <v>1175.48</v>
      </c>
      <c r="D147" s="61">
        <v>28.36</v>
      </c>
      <c r="E147" s="61">
        <v>32.65</v>
      </c>
      <c r="F147" s="61">
        <f t="shared" si="9"/>
        <v>33.314407599999996</v>
      </c>
      <c r="G147" s="61">
        <f t="shared" si="10"/>
        <v>0.66440759999999699</v>
      </c>
      <c r="H147" s="61">
        <f t="shared" si="11"/>
        <v>0.44143745893775599</v>
      </c>
      <c r="I147" s="59"/>
      <c r="J147" s="59"/>
    </row>
    <row r="148" spans="3:10" ht="14.25" customHeight="1" x14ac:dyDescent="0.4">
      <c r="C148" s="61">
        <v>1161.53</v>
      </c>
      <c r="D148" s="61">
        <v>32.83</v>
      </c>
      <c r="E148" s="61">
        <v>26.72</v>
      </c>
      <c r="F148" s="61">
        <f t="shared" si="9"/>
        <v>27.412639899999995</v>
      </c>
      <c r="G148" s="61">
        <f t="shared" si="10"/>
        <v>0.69263989999999609</v>
      </c>
      <c r="H148" s="61">
        <f t="shared" si="11"/>
        <v>0.47975003107200459</v>
      </c>
      <c r="I148" s="59"/>
      <c r="J148" s="59"/>
    </row>
    <row r="149" spans="3:10" ht="14.25" customHeight="1" x14ac:dyDescent="0.4">
      <c r="C149" s="61">
        <v>1093.8800000000001</v>
      </c>
      <c r="D149" s="61">
        <v>18.41</v>
      </c>
      <c r="E149" s="61">
        <v>40.11</v>
      </c>
      <c r="F149" s="61">
        <f t="shared" si="9"/>
        <v>41.8113156</v>
      </c>
      <c r="G149" s="61">
        <f t="shared" si="10"/>
        <v>1.7013156000000009</v>
      </c>
      <c r="H149" s="61">
        <f t="shared" si="11"/>
        <v>2.8944747708033631</v>
      </c>
      <c r="I149" s="59"/>
      <c r="J149" s="59"/>
    </row>
    <row r="150" spans="3:10" ht="14.25" customHeight="1" x14ac:dyDescent="0.4">
      <c r="C150" s="61">
        <v>830.63</v>
      </c>
      <c r="D150" s="61">
        <v>22.62</v>
      </c>
      <c r="E150" s="61">
        <v>26.12</v>
      </c>
      <c r="F150" s="61">
        <f t="shared" si="9"/>
        <v>25.950738500000003</v>
      </c>
      <c r="G150" s="61">
        <f t="shared" si="10"/>
        <v>0.16926149999999751</v>
      </c>
      <c r="H150" s="61">
        <f t="shared" si="11"/>
        <v>2.8649455382249157E-2</v>
      </c>
      <c r="I150" s="59"/>
      <c r="J150" s="59"/>
    </row>
    <row r="151" spans="3:10" ht="14.25" customHeight="1" x14ac:dyDescent="0.4">
      <c r="C151" s="61">
        <v>1089.03</v>
      </c>
      <c r="D151" s="61">
        <v>22.71</v>
      </c>
      <c r="E151" s="61">
        <v>37.33</v>
      </c>
      <c r="F151" s="61">
        <f t="shared" si="9"/>
        <v>36.486976100000007</v>
      </c>
      <c r="G151" s="61">
        <f t="shared" si="10"/>
        <v>0.8430238999999915</v>
      </c>
      <c r="H151" s="61">
        <f t="shared" si="11"/>
        <v>0.71068929597119568</v>
      </c>
      <c r="I151" s="59"/>
      <c r="J151" s="59"/>
    </row>
    <row r="152" spans="3:10" ht="14.25" customHeight="1" x14ac:dyDescent="0.4">
      <c r="C152" s="61">
        <v>591.78</v>
      </c>
      <c r="D152" s="61">
        <v>20.05</v>
      </c>
      <c r="E152" s="61">
        <v>18.5</v>
      </c>
      <c r="F152" s="61">
        <f t="shared" si="9"/>
        <v>19.175330199999998</v>
      </c>
      <c r="G152" s="61">
        <f t="shared" si="10"/>
        <v>0.67533019999999766</v>
      </c>
      <c r="H152" s="61">
        <f t="shared" si="11"/>
        <v>0.45607087903203686</v>
      </c>
      <c r="I152" s="59"/>
      <c r="J152" s="59"/>
    </row>
    <row r="153" spans="3:10" ht="14.25" customHeight="1" x14ac:dyDescent="0.4">
      <c r="C153" s="61">
        <v>716.11</v>
      </c>
      <c r="D153" s="61">
        <v>33.479999999999997</v>
      </c>
      <c r="E153" s="61">
        <v>8.39</v>
      </c>
      <c r="F153" s="61">
        <f t="shared" si="9"/>
        <v>8.291146100000006</v>
      </c>
      <c r="G153" s="61">
        <f t="shared" si="10"/>
        <v>9.885389999999461E-2</v>
      </c>
      <c r="H153" s="61">
        <f t="shared" si="11"/>
        <v>9.7720935452089343E-3</v>
      </c>
      <c r="I153" s="59"/>
      <c r="J153" s="59"/>
    </row>
    <row r="154" spans="3:10" ht="14.25" customHeight="1" x14ac:dyDescent="0.4">
      <c r="C154" s="61">
        <v>824.1</v>
      </c>
      <c r="D154" s="61">
        <v>18.52</v>
      </c>
      <c r="E154" s="61">
        <v>31.82</v>
      </c>
      <c r="F154" s="61">
        <f t="shared" si="9"/>
        <v>30.567983800000007</v>
      </c>
      <c r="G154" s="61">
        <f t="shared" si="10"/>
        <v>1.2520161999999928</v>
      </c>
      <c r="H154" s="61">
        <f t="shared" si="11"/>
        <v>1.567544565062422</v>
      </c>
      <c r="I154" s="59"/>
      <c r="J154" s="59"/>
    </row>
    <row r="155" spans="3:10" ht="14.25" customHeight="1" x14ac:dyDescent="0.4">
      <c r="C155" s="61">
        <v>1019.29</v>
      </c>
      <c r="D155" s="61">
        <v>29.43</v>
      </c>
      <c r="E155" s="61">
        <v>25.26</v>
      </c>
      <c r="F155" s="61">
        <f t="shared" si="9"/>
        <v>25.605758299999991</v>
      </c>
      <c r="G155" s="61">
        <f t="shared" si="10"/>
        <v>0.3457582999999893</v>
      </c>
      <c r="H155" s="61">
        <f t="shared" si="11"/>
        <v>0.1195488020188826</v>
      </c>
      <c r="I155" s="59"/>
      <c r="J155" s="59"/>
    </row>
    <row r="156" spans="3:10" ht="14.25" customHeight="1" x14ac:dyDescent="0.4">
      <c r="C156" s="61">
        <v>840.08</v>
      </c>
      <c r="D156" s="61">
        <v>19.21</v>
      </c>
      <c r="E156" s="61">
        <v>29.77</v>
      </c>
      <c r="F156" s="61">
        <f t="shared" si="9"/>
        <v>30.403885600000002</v>
      </c>
      <c r="G156" s="61">
        <f t="shared" si="10"/>
        <v>0.63388560000000282</v>
      </c>
      <c r="H156" s="61">
        <f t="shared" si="11"/>
        <v>0.4018109538873636</v>
      </c>
      <c r="I156" s="59"/>
      <c r="J156" s="59"/>
    </row>
    <row r="157" spans="3:10" ht="14.25" customHeight="1" x14ac:dyDescent="0.4">
      <c r="C157" s="61">
        <v>595.80999999999995</v>
      </c>
      <c r="D157" s="61">
        <v>24.13</v>
      </c>
      <c r="E157" s="61">
        <v>16.329999999999998</v>
      </c>
      <c r="F157" s="61">
        <f t="shared" si="9"/>
        <v>14.478945099999994</v>
      </c>
      <c r="G157" s="61">
        <f t="shared" si="10"/>
        <v>1.8510549000000047</v>
      </c>
      <c r="H157" s="61">
        <f t="shared" si="11"/>
        <v>3.4264042428140273</v>
      </c>
      <c r="I157" s="59"/>
      <c r="J157" s="59"/>
    </row>
    <row r="158" spans="3:10" ht="14.25" customHeight="1" x14ac:dyDescent="0.4">
      <c r="C158" s="61">
        <v>740.48</v>
      </c>
      <c r="D158" s="61">
        <v>25.11</v>
      </c>
      <c r="E158" s="61">
        <v>19.64</v>
      </c>
      <c r="F158" s="61">
        <f t="shared" si="9"/>
        <v>19.269977600000004</v>
      </c>
      <c r="G158" s="61">
        <f t="shared" si="10"/>
        <v>0.37002239999999631</v>
      </c>
      <c r="H158" s="61">
        <f t="shared" si="11"/>
        <v>0.13691657650175726</v>
      </c>
      <c r="I158" s="59"/>
      <c r="J158" s="59"/>
    </row>
    <row r="159" spans="3:10" ht="14.25" customHeight="1" x14ac:dyDescent="0.4">
      <c r="C159" s="61">
        <v>727.1</v>
      </c>
      <c r="D159" s="61">
        <v>21.08</v>
      </c>
      <c r="E159" s="61">
        <v>24.38</v>
      </c>
      <c r="F159" s="61">
        <f t="shared" si="9"/>
        <v>23.521648200000001</v>
      </c>
      <c r="G159" s="61">
        <f t="shared" si="10"/>
        <v>0.85835179999999767</v>
      </c>
      <c r="H159" s="61">
        <f t="shared" si="11"/>
        <v>0.73676781256323598</v>
      </c>
      <c r="I159" s="59"/>
      <c r="J159" s="59"/>
    </row>
    <row r="160" spans="3:10" ht="14.25" customHeight="1" x14ac:dyDescent="0.4">
      <c r="C160" s="61">
        <v>710.29</v>
      </c>
      <c r="D160" s="61">
        <v>26.86</v>
      </c>
      <c r="E160" s="61">
        <v>17.940000000000001</v>
      </c>
      <c r="F160" s="61">
        <f t="shared" si="9"/>
        <v>15.9408715</v>
      </c>
      <c r="G160" s="61">
        <f t="shared" si="10"/>
        <v>1.9991285000000012</v>
      </c>
      <c r="H160" s="61">
        <f t="shared" si="11"/>
        <v>3.9965147595122548</v>
      </c>
      <c r="I160" s="59"/>
      <c r="J160" s="59"/>
    </row>
    <row r="161" spans="3:10" ht="14.25" customHeight="1" x14ac:dyDescent="0.4">
      <c r="C161" s="61">
        <v>615.85</v>
      </c>
      <c r="D161" s="61">
        <v>27.09</v>
      </c>
      <c r="E161" s="61">
        <v>13.84</v>
      </c>
      <c r="F161" s="61">
        <f t="shared" si="9"/>
        <v>11.776783099999996</v>
      </c>
      <c r="G161" s="61">
        <f t="shared" si="10"/>
        <v>2.063216900000004</v>
      </c>
      <c r="H161" s="61">
        <f t="shared" si="11"/>
        <v>4.2568639764456266</v>
      </c>
      <c r="I161" s="59"/>
      <c r="J161" s="59"/>
    </row>
    <row r="162" spans="3:10" ht="14.25" customHeight="1" x14ac:dyDescent="0.4">
      <c r="C162" s="61">
        <v>790.43</v>
      </c>
      <c r="D162" s="61">
        <v>23.39</v>
      </c>
      <c r="E162" s="61">
        <v>23.03</v>
      </c>
      <c r="F162" s="61">
        <f t="shared" si="9"/>
        <v>23.377245300000002</v>
      </c>
      <c r="G162" s="61">
        <f t="shared" si="10"/>
        <v>0.34724530000000087</v>
      </c>
      <c r="H162" s="61">
        <f t="shared" si="11"/>
        <v>0.1205792983720906</v>
      </c>
      <c r="I162" s="59"/>
      <c r="J162" s="59"/>
    </row>
    <row r="163" spans="3:10" ht="14.25" customHeight="1" x14ac:dyDescent="0.4">
      <c r="C163" s="61">
        <v>813.68</v>
      </c>
      <c r="D163" s="61">
        <v>30.53</v>
      </c>
      <c r="E163" s="61">
        <v>15.12</v>
      </c>
      <c r="F163" s="61">
        <f t="shared" si="9"/>
        <v>15.8257464</v>
      </c>
      <c r="G163" s="61">
        <f t="shared" si="10"/>
        <v>0.70574640000000066</v>
      </c>
      <c r="H163" s="61">
        <f t="shared" si="11"/>
        <v>0.49807798111296092</v>
      </c>
      <c r="I163" s="59"/>
      <c r="J163" s="59"/>
    </row>
    <row r="164" spans="3:10" ht="14.25" customHeight="1" x14ac:dyDescent="0.4">
      <c r="C164" s="61">
        <v>1042.43</v>
      </c>
      <c r="D164" s="61">
        <v>20.72</v>
      </c>
      <c r="E164" s="61">
        <v>37.26</v>
      </c>
      <c r="F164" s="61">
        <f t="shared" si="9"/>
        <v>36.939124500000005</v>
      </c>
      <c r="G164" s="61">
        <f t="shared" si="10"/>
        <v>0.32087549999999254</v>
      </c>
      <c r="H164" s="61">
        <f t="shared" si="11"/>
        <v>0.10296108650024521</v>
      </c>
      <c r="I164" s="59"/>
      <c r="J164" s="59"/>
    </row>
    <row r="165" spans="3:10" ht="14.25" customHeight="1" x14ac:dyDescent="0.4">
      <c r="C165" s="61">
        <v>1057.47</v>
      </c>
      <c r="D165" s="61">
        <v>21.27</v>
      </c>
      <c r="E165" s="61">
        <v>36.57</v>
      </c>
      <c r="F165" s="61">
        <f t="shared" si="9"/>
        <v>36.903154100000009</v>
      </c>
      <c r="G165" s="61">
        <f t="shared" si="10"/>
        <v>0.33315410000000867</v>
      </c>
      <c r="H165" s="61">
        <f t="shared" si="11"/>
        <v>0.11099165434681578</v>
      </c>
      <c r="I165" s="59"/>
      <c r="J165" s="59"/>
    </row>
    <row r="166" spans="3:10" ht="14.25" customHeight="1" x14ac:dyDescent="0.4">
      <c r="C166" s="61">
        <v>865.67</v>
      </c>
      <c r="D166" s="61">
        <v>24.03</v>
      </c>
      <c r="E166" s="61">
        <v>22.95</v>
      </c>
      <c r="F166" s="61">
        <f t="shared" si="9"/>
        <v>25.713654499999997</v>
      </c>
      <c r="G166" s="61">
        <f t="shared" si="10"/>
        <v>2.7636544999999977</v>
      </c>
      <c r="H166" s="61">
        <f t="shared" si="11"/>
        <v>7.6377861953702375</v>
      </c>
      <c r="I166" s="59"/>
      <c r="J166" s="59"/>
    </row>
    <row r="167" spans="3:10" ht="14.25" customHeight="1" x14ac:dyDescent="0.4">
      <c r="C167" s="61">
        <v>822.44</v>
      </c>
      <c r="D167" s="61">
        <v>24.43</v>
      </c>
      <c r="E167" s="61">
        <v>25.49</v>
      </c>
      <c r="F167" s="61">
        <f t="shared" si="9"/>
        <v>23.4563068</v>
      </c>
      <c r="G167" s="61">
        <f t="shared" si="10"/>
        <v>2.0336931999999983</v>
      </c>
      <c r="H167" s="61">
        <f t="shared" si="11"/>
        <v>4.1359080317262329</v>
      </c>
      <c r="I167" s="59"/>
      <c r="J167" s="59"/>
    </row>
    <row r="168" spans="3:10" ht="14.25" customHeight="1" x14ac:dyDescent="0.4">
      <c r="C168" s="61">
        <v>1044.75</v>
      </c>
      <c r="D168" s="61">
        <v>21.51</v>
      </c>
      <c r="E168" s="61">
        <v>36.01</v>
      </c>
      <c r="F168" s="61">
        <f t="shared" si="9"/>
        <v>36.0931949</v>
      </c>
      <c r="G168" s="61">
        <f t="shared" si="10"/>
        <v>8.3194900000002292E-2</v>
      </c>
      <c r="H168" s="61">
        <f t="shared" si="11"/>
        <v>6.9213913860103815E-3</v>
      </c>
      <c r="I168" s="59"/>
      <c r="J168" s="59"/>
    </row>
    <row r="169" spans="3:10" ht="14.25" customHeight="1" x14ac:dyDescent="0.4">
      <c r="C169" s="61">
        <v>1121.0999999999999</v>
      </c>
      <c r="D169" s="61">
        <v>33.619999999999997</v>
      </c>
      <c r="E169" s="61">
        <v>25.61</v>
      </c>
      <c r="F169" s="61">
        <f t="shared" si="9"/>
        <v>24.805837799999992</v>
      </c>
      <c r="G169" s="61">
        <f t="shared" si="10"/>
        <v>0.80416220000000749</v>
      </c>
      <c r="H169" s="61">
        <f t="shared" si="11"/>
        <v>0.64667684390885205</v>
      </c>
      <c r="I169" s="59"/>
      <c r="J169" s="59"/>
    </row>
    <row r="170" spans="3:10" ht="14.25" customHeight="1" x14ac:dyDescent="0.4">
      <c r="C170" s="61">
        <v>972.44</v>
      </c>
      <c r="D170" s="61">
        <v>32.08</v>
      </c>
      <c r="E170" s="61">
        <v>18.649999999999999</v>
      </c>
      <c r="F170" s="61">
        <f t="shared" si="9"/>
        <v>20.517842800000004</v>
      </c>
      <c r="G170" s="61">
        <f t="shared" si="10"/>
        <v>1.8678428000000054</v>
      </c>
      <c r="H170" s="61">
        <f t="shared" si="11"/>
        <v>3.48883672551186</v>
      </c>
      <c r="I170" s="59"/>
      <c r="J170" s="59"/>
    </row>
    <row r="171" spans="3:10" ht="14.25" customHeight="1" x14ac:dyDescent="0.4">
      <c r="C171" s="61">
        <v>1060.3399999999999</v>
      </c>
      <c r="D171" s="61">
        <v>19.82</v>
      </c>
      <c r="E171" s="61">
        <v>40.57</v>
      </c>
      <c r="F171" s="61">
        <f t="shared" si="9"/>
        <v>38.749421399999989</v>
      </c>
      <c r="G171" s="61">
        <f t="shared" si="10"/>
        <v>1.8205786000000117</v>
      </c>
      <c r="H171" s="61">
        <f t="shared" si="11"/>
        <v>3.3145064387780026</v>
      </c>
      <c r="I171" s="59"/>
      <c r="J171" s="59"/>
    </row>
    <row r="172" spans="3:10" ht="14.25" customHeight="1" x14ac:dyDescent="0.4">
      <c r="C172" s="61">
        <v>1157.3800000000001</v>
      </c>
      <c r="D172" s="61">
        <v>24.28</v>
      </c>
      <c r="E172" s="61">
        <v>36.28</v>
      </c>
      <c r="F172" s="61">
        <f t="shared" si="9"/>
        <v>37.431249399999999</v>
      </c>
      <c r="G172" s="61">
        <f t="shared" si="10"/>
        <v>1.1512493999999975</v>
      </c>
      <c r="H172" s="61">
        <f t="shared" si="11"/>
        <v>1.3253751810003542</v>
      </c>
      <c r="I172" s="59"/>
      <c r="J172" s="59"/>
    </row>
    <row r="173" spans="3:10" ht="14.25" customHeight="1" x14ac:dyDescent="0.4">
      <c r="C173" s="61">
        <v>528.46</v>
      </c>
      <c r="D173" s="61">
        <v>21.96</v>
      </c>
      <c r="E173" s="61">
        <v>14.63</v>
      </c>
      <c r="F173" s="61">
        <f t="shared" si="9"/>
        <v>14.290917800000006</v>
      </c>
      <c r="G173" s="61">
        <f t="shared" si="10"/>
        <v>0.33908219999999467</v>
      </c>
      <c r="H173" s="61">
        <f t="shared" si="11"/>
        <v>0.11497673835683639</v>
      </c>
      <c r="I173" s="59"/>
      <c r="J173" s="59"/>
    </row>
    <row r="174" spans="3:10" ht="14.25" customHeight="1" x14ac:dyDescent="0.4">
      <c r="C174" s="61">
        <v>1112.97</v>
      </c>
      <c r="D174" s="61">
        <v>25.67</v>
      </c>
      <c r="E174" s="61">
        <v>31.61</v>
      </c>
      <c r="F174" s="61">
        <f t="shared" si="9"/>
        <v>33.945455100000004</v>
      </c>
      <c r="G174" s="61">
        <f t="shared" si="10"/>
        <v>2.3354551000000043</v>
      </c>
      <c r="H174" s="61">
        <f t="shared" si="11"/>
        <v>5.4543505241160304</v>
      </c>
      <c r="I174" s="59"/>
      <c r="J174" s="59"/>
    </row>
    <row r="175" spans="3:10" ht="14.25" customHeight="1" x14ac:dyDescent="0.4">
      <c r="C175" s="61">
        <v>693.59</v>
      </c>
      <c r="D175" s="61">
        <v>22.7</v>
      </c>
      <c r="E175" s="61">
        <v>20.260000000000002</v>
      </c>
      <c r="F175" s="61">
        <f t="shared" si="9"/>
        <v>20.210720100000003</v>
      </c>
      <c r="G175" s="61">
        <f t="shared" si="10"/>
        <v>4.9279899999998378E-2</v>
      </c>
      <c r="H175" s="61">
        <f t="shared" si="11"/>
        <v>2.42850854400984E-3</v>
      </c>
      <c r="I175" s="59"/>
      <c r="J175" s="59"/>
    </row>
    <row r="176" spans="3:10" ht="14.25" customHeight="1" x14ac:dyDescent="0.4">
      <c r="C176" s="61">
        <v>833.04</v>
      </c>
      <c r="D176" s="61">
        <v>26.53</v>
      </c>
      <c r="E176" s="61">
        <v>21.14</v>
      </c>
      <c r="F176" s="61">
        <f t="shared" si="9"/>
        <v>21.390224800000002</v>
      </c>
      <c r="G176" s="61">
        <f t="shared" si="10"/>
        <v>0.25022480000000158</v>
      </c>
      <c r="H176" s="61">
        <f t="shared" si="11"/>
        <v>6.261245053504079E-2</v>
      </c>
      <c r="I176" s="59"/>
      <c r="J176" s="59"/>
    </row>
    <row r="177" spans="3:10" ht="14.25" customHeight="1" x14ac:dyDescent="0.4">
      <c r="C177" s="61">
        <v>1057.73</v>
      </c>
      <c r="D177" s="61">
        <v>33.68</v>
      </c>
      <c r="E177" s="61">
        <v>21.61</v>
      </c>
      <c r="F177" s="61">
        <f t="shared" si="9"/>
        <v>22.124121899999999</v>
      </c>
      <c r="G177" s="61">
        <f t="shared" si="10"/>
        <v>0.51412189999999924</v>
      </c>
      <c r="H177" s="61">
        <f t="shared" si="11"/>
        <v>0.26432132805960923</v>
      </c>
      <c r="I177" s="59"/>
      <c r="J177" s="59"/>
    </row>
    <row r="178" spans="3:10" ht="14.25" customHeight="1" x14ac:dyDescent="0.4">
      <c r="C178" s="61">
        <v>1002.07</v>
      </c>
      <c r="D178" s="61">
        <v>24.5</v>
      </c>
      <c r="E178" s="61">
        <v>31.34</v>
      </c>
      <c r="F178" s="61">
        <f t="shared" si="9"/>
        <v>30.771843300000004</v>
      </c>
      <c r="G178" s="61">
        <f t="shared" si="10"/>
        <v>0.56815669999999585</v>
      </c>
      <c r="H178" s="61">
        <f t="shared" si="11"/>
        <v>0.32280203575488531</v>
      </c>
      <c r="I178" s="59"/>
      <c r="J178" s="59"/>
    </row>
    <row r="179" spans="3:10" ht="14.25" customHeight="1" x14ac:dyDescent="0.4">
      <c r="C179" s="61">
        <v>603</v>
      </c>
      <c r="D179" s="61">
        <v>29.05</v>
      </c>
      <c r="E179" s="61">
        <v>9.35</v>
      </c>
      <c r="F179" s="61">
        <f t="shared" si="9"/>
        <v>8.9116420000000005</v>
      </c>
      <c r="G179" s="61">
        <f t="shared" si="10"/>
        <v>0.43835799999999914</v>
      </c>
      <c r="H179" s="61">
        <f t="shared" si="11"/>
        <v>0.19215773616399925</v>
      </c>
      <c r="I179" s="59"/>
      <c r="J179" s="59"/>
    </row>
    <row r="180" spans="3:10" ht="14.25" customHeight="1" x14ac:dyDescent="0.4">
      <c r="C180" s="61">
        <v>961.12</v>
      </c>
      <c r="D180" s="61">
        <v>28.13</v>
      </c>
      <c r="E180" s="61">
        <v>26.16</v>
      </c>
      <c r="F180" s="61">
        <f t="shared" si="9"/>
        <v>24.759023999999997</v>
      </c>
      <c r="G180" s="61">
        <f t="shared" si="10"/>
        <v>1.4009760000000036</v>
      </c>
      <c r="H180" s="61">
        <f t="shared" si="11"/>
        <v>1.96273375257601</v>
      </c>
      <c r="I180" s="59"/>
      <c r="J180" s="59"/>
    </row>
    <row r="181" spans="3:10" ht="14.25" customHeight="1" x14ac:dyDescent="0.4">
      <c r="C181" s="59"/>
      <c r="D181" s="59"/>
      <c r="E181" s="59"/>
      <c r="F181" s="59"/>
      <c r="G181" s="59"/>
      <c r="H181" s="59"/>
      <c r="I181" s="59"/>
      <c r="J181" s="59"/>
    </row>
    <row r="182" spans="3:10" ht="14.25" customHeight="1" x14ac:dyDescent="0.4">
      <c r="C182" s="59"/>
      <c r="D182" s="59"/>
      <c r="E182" s="59"/>
      <c r="F182" s="59"/>
      <c r="G182" s="59"/>
      <c r="H182" s="59"/>
      <c r="I182" s="59"/>
      <c r="J182" s="59"/>
    </row>
    <row r="183" spans="3:10" ht="14.25" customHeight="1" x14ac:dyDescent="0.4">
      <c r="C183" s="59"/>
      <c r="D183" s="59"/>
      <c r="E183" s="59"/>
      <c r="F183" s="59"/>
      <c r="G183" s="59"/>
      <c r="H183" s="59"/>
      <c r="I183" s="59"/>
      <c r="J183" s="59"/>
    </row>
    <row r="184" spans="3:10" ht="14.25" customHeight="1" x14ac:dyDescent="0.4">
      <c r="C184" s="59"/>
      <c r="D184" s="59"/>
      <c r="E184" s="59"/>
      <c r="F184" s="59"/>
      <c r="G184" s="59"/>
      <c r="H184" s="59"/>
      <c r="I184" s="59"/>
      <c r="J184" s="59"/>
    </row>
    <row r="185" spans="3:10" ht="14.25" customHeight="1" x14ac:dyDescent="0.4">
      <c r="C185" s="59"/>
      <c r="D185" s="59"/>
      <c r="E185" s="59"/>
      <c r="F185" s="59"/>
      <c r="G185" s="59"/>
      <c r="H185" s="59"/>
      <c r="I185" s="59"/>
      <c r="J185" s="59"/>
    </row>
    <row r="186" spans="3:10" ht="14.25" customHeight="1" x14ac:dyDescent="0.4">
      <c r="C186" s="59"/>
      <c r="D186" s="59"/>
      <c r="E186" s="59"/>
      <c r="F186" s="59"/>
      <c r="G186" s="59"/>
      <c r="H186" s="59"/>
      <c r="I186" s="59"/>
      <c r="J186" s="59"/>
    </row>
    <row r="187" spans="3:10" ht="14.25" customHeight="1" x14ac:dyDescent="0.4">
      <c r="C187" s="61" t="s">
        <v>59</v>
      </c>
      <c r="D187" s="61"/>
      <c r="E187" s="59"/>
      <c r="F187" s="59"/>
      <c r="G187" s="59"/>
      <c r="H187" s="59"/>
      <c r="I187" s="59"/>
      <c r="J187" s="59"/>
    </row>
    <row r="188" spans="3:10" ht="14.25" customHeight="1" x14ac:dyDescent="0.4">
      <c r="C188" s="58" t="s">
        <v>60</v>
      </c>
      <c r="D188" s="61"/>
      <c r="E188" s="59"/>
      <c r="F188" s="59"/>
      <c r="G188" s="59"/>
      <c r="H188" s="59"/>
      <c r="I188" s="59"/>
      <c r="J188" s="59"/>
    </row>
    <row r="189" spans="3:10" ht="14.25" customHeight="1" x14ac:dyDescent="0.4">
      <c r="C189" s="59"/>
      <c r="D189" s="59"/>
      <c r="E189" s="59"/>
      <c r="F189" s="59"/>
      <c r="G189" s="59"/>
      <c r="H189" s="59"/>
      <c r="I189" s="59"/>
      <c r="J189" s="59"/>
    </row>
    <row r="190" spans="3:10" ht="14.25" customHeight="1" x14ac:dyDescent="0.4">
      <c r="C190" s="58" t="s">
        <v>8</v>
      </c>
      <c r="D190" s="58" t="s">
        <v>9</v>
      </c>
      <c r="E190" s="58" t="s">
        <v>10</v>
      </c>
      <c r="F190" s="58" t="s">
        <v>54</v>
      </c>
      <c r="G190" s="58" t="s">
        <v>55</v>
      </c>
      <c r="H190" s="58" t="s">
        <v>85</v>
      </c>
      <c r="I190" s="58" t="s">
        <v>61</v>
      </c>
      <c r="J190" s="59"/>
    </row>
    <row r="191" spans="3:10" ht="14.25" customHeight="1" x14ac:dyDescent="0.4">
      <c r="C191" s="61">
        <v>795.66</v>
      </c>
      <c r="D191" s="61">
        <v>18.39</v>
      </c>
      <c r="E191" s="61">
        <v>30.2</v>
      </c>
      <c r="F191" s="61">
        <f t="shared" ref="F191:F240" si="12">18.4326+0.04198*C191-1.20537*D191</f>
        <v>29.667652500000003</v>
      </c>
      <c r="G191" s="61">
        <f t="shared" ref="G191:G240" si="13">ABS(E191-F191)</f>
        <v>0.53234749999999664</v>
      </c>
      <c r="H191" s="61">
        <f t="shared" ref="H191:H240" si="14">G191^2</f>
        <v>0.28339386075624645</v>
      </c>
      <c r="I191" s="61">
        <f>AVERAGE(H191:H240)</f>
        <v>1.5446686511004841</v>
      </c>
      <c r="J191" s="59"/>
    </row>
    <row r="192" spans="3:10" ht="14.25" customHeight="1" x14ac:dyDescent="0.4">
      <c r="C192" s="61">
        <v>798.52</v>
      </c>
      <c r="D192" s="61">
        <v>26.92</v>
      </c>
      <c r="E192" s="61">
        <v>20.85</v>
      </c>
      <c r="F192" s="61">
        <f t="shared" si="12"/>
        <v>19.505909199999998</v>
      </c>
      <c r="G192" s="61">
        <f t="shared" si="13"/>
        <v>1.3440908000000036</v>
      </c>
      <c r="H192" s="61">
        <f t="shared" si="14"/>
        <v>1.8065800786446495</v>
      </c>
      <c r="I192" s="59"/>
      <c r="J192" s="59"/>
    </row>
    <row r="193" spans="3:10" ht="14.25" customHeight="1" x14ac:dyDescent="0.4">
      <c r="C193" s="61">
        <v>944.07</v>
      </c>
      <c r="D193" s="61">
        <v>29.84</v>
      </c>
      <c r="E193" s="61">
        <v>21.28</v>
      </c>
      <c r="F193" s="61">
        <f t="shared" si="12"/>
        <v>22.096417800000005</v>
      </c>
      <c r="G193" s="61">
        <f t="shared" si="13"/>
        <v>0.81641780000000352</v>
      </c>
      <c r="H193" s="61">
        <f t="shared" si="14"/>
        <v>0.66653802415684571</v>
      </c>
      <c r="I193" s="59"/>
      <c r="J193" s="59"/>
    </row>
    <row r="194" spans="3:10" ht="14.25" customHeight="1" x14ac:dyDescent="0.4">
      <c r="C194" s="61">
        <v>866.03</v>
      </c>
      <c r="D194" s="61">
        <v>25.26</v>
      </c>
      <c r="E194" s="61">
        <v>24.07</v>
      </c>
      <c r="F194" s="61">
        <f t="shared" si="12"/>
        <v>24.3408932</v>
      </c>
      <c r="G194" s="61">
        <f t="shared" si="13"/>
        <v>0.27089319999999972</v>
      </c>
      <c r="H194" s="61">
        <f t="shared" si="14"/>
        <v>7.3383125806239846E-2</v>
      </c>
      <c r="I194" s="59"/>
      <c r="J194" s="59"/>
    </row>
    <row r="195" spans="3:10" ht="14.25" customHeight="1" x14ac:dyDescent="0.4">
      <c r="C195" s="61">
        <v>790.42</v>
      </c>
      <c r="D195" s="61">
        <v>20.29</v>
      </c>
      <c r="E195" s="61">
        <v>25.57</v>
      </c>
      <c r="F195" s="61">
        <f t="shared" si="12"/>
        <v>27.157474300000004</v>
      </c>
      <c r="G195" s="61">
        <f t="shared" si="13"/>
        <v>1.5874743000000038</v>
      </c>
      <c r="H195" s="61">
        <f t="shared" si="14"/>
        <v>2.5200746531605018</v>
      </c>
      <c r="I195" s="59"/>
      <c r="J195" s="59"/>
    </row>
    <row r="196" spans="3:10" ht="14.25" customHeight="1" x14ac:dyDescent="0.4">
      <c r="C196" s="61">
        <v>501</v>
      </c>
      <c r="D196" s="61">
        <v>23.63</v>
      </c>
      <c r="E196" s="61">
        <v>11.2</v>
      </c>
      <c r="F196" s="61">
        <f t="shared" si="12"/>
        <v>10.9816869</v>
      </c>
      <c r="G196" s="61">
        <f t="shared" si="13"/>
        <v>0.21831309999999959</v>
      </c>
      <c r="H196" s="61">
        <f t="shared" si="14"/>
        <v>4.766060963160982E-2</v>
      </c>
      <c r="I196" s="59"/>
      <c r="J196" s="59"/>
    </row>
    <row r="197" spans="3:10" ht="14.25" customHeight="1" x14ac:dyDescent="0.4">
      <c r="C197" s="61">
        <v>564.58000000000004</v>
      </c>
      <c r="D197" s="61">
        <v>28.04</v>
      </c>
      <c r="E197" s="61">
        <v>9.83</v>
      </c>
      <c r="F197" s="61">
        <f t="shared" si="12"/>
        <v>8.3350936000000075</v>
      </c>
      <c r="G197" s="61">
        <f t="shared" si="13"/>
        <v>1.4949063999999925</v>
      </c>
      <c r="H197" s="61">
        <f t="shared" si="14"/>
        <v>2.2347451447609377</v>
      </c>
      <c r="I197" s="59"/>
      <c r="J197" s="59"/>
    </row>
    <row r="198" spans="3:10" ht="14.25" customHeight="1" x14ac:dyDescent="0.4">
      <c r="C198" s="61">
        <v>996.58</v>
      </c>
      <c r="D198" s="61">
        <v>33.99</v>
      </c>
      <c r="E198" s="61">
        <v>18.62</v>
      </c>
      <c r="F198" s="61">
        <f t="shared" si="12"/>
        <v>19.2985021</v>
      </c>
      <c r="G198" s="61">
        <f t="shared" si="13"/>
        <v>0.67850209999999933</v>
      </c>
      <c r="H198" s="61">
        <f t="shared" si="14"/>
        <v>0.46036509970440909</v>
      </c>
      <c r="I198" s="59"/>
      <c r="J198" s="59"/>
    </row>
    <row r="199" spans="3:10" ht="14.25" customHeight="1" x14ac:dyDescent="0.4">
      <c r="C199" s="61">
        <v>867.04</v>
      </c>
      <c r="D199" s="61">
        <v>34.869999999999997</v>
      </c>
      <c r="E199" s="61">
        <v>13.55</v>
      </c>
      <c r="F199" s="61">
        <f t="shared" si="12"/>
        <v>12.799687300000002</v>
      </c>
      <c r="G199" s="61">
        <f t="shared" si="13"/>
        <v>0.7503126999999985</v>
      </c>
      <c r="H199" s="61">
        <f t="shared" si="14"/>
        <v>0.5629691477812877</v>
      </c>
      <c r="I199" s="59"/>
      <c r="J199" s="59"/>
    </row>
    <row r="200" spans="3:10" ht="14.25" customHeight="1" x14ac:dyDescent="0.4">
      <c r="C200" s="61">
        <v>987.31</v>
      </c>
      <c r="D200" s="61">
        <v>22.11</v>
      </c>
      <c r="E200" s="61">
        <v>32.1</v>
      </c>
      <c r="F200" s="61">
        <f t="shared" si="12"/>
        <v>33.229143100000002</v>
      </c>
      <c r="G200" s="61">
        <f t="shared" si="13"/>
        <v>1.1291431000000003</v>
      </c>
      <c r="H200" s="61">
        <f t="shared" si="14"/>
        <v>1.2749641402776106</v>
      </c>
      <c r="I200" s="59"/>
      <c r="J200" s="59"/>
    </row>
    <row r="201" spans="3:10" ht="14.25" customHeight="1" x14ac:dyDescent="0.4">
      <c r="C201" s="61">
        <v>1168.83</v>
      </c>
      <c r="D201" s="61">
        <v>18.18</v>
      </c>
      <c r="E201" s="61">
        <v>44.05</v>
      </c>
      <c r="F201" s="61">
        <f t="shared" si="12"/>
        <v>45.586456799999993</v>
      </c>
      <c r="G201" s="61">
        <f t="shared" si="13"/>
        <v>1.5364567999999963</v>
      </c>
      <c r="H201" s="61">
        <f t="shared" si="14"/>
        <v>2.3606994982662286</v>
      </c>
      <c r="I201" s="59"/>
      <c r="J201" s="59"/>
    </row>
    <row r="202" spans="3:10" ht="14.25" customHeight="1" x14ac:dyDescent="0.4">
      <c r="C202" s="61">
        <v>978.04</v>
      </c>
      <c r="D202" s="61">
        <v>32.119999999999997</v>
      </c>
      <c r="E202" s="61">
        <v>20.64</v>
      </c>
      <c r="F202" s="61">
        <f t="shared" si="12"/>
        <v>20.774234800000002</v>
      </c>
      <c r="G202" s="61">
        <f t="shared" si="13"/>
        <v>0.13423480000000154</v>
      </c>
      <c r="H202" s="61">
        <f t="shared" si="14"/>
        <v>1.8018981531040413E-2</v>
      </c>
      <c r="I202" s="59"/>
      <c r="J202" s="59"/>
    </row>
    <row r="203" spans="3:10" ht="14.25" customHeight="1" x14ac:dyDescent="0.4">
      <c r="C203" s="61">
        <v>537.19000000000005</v>
      </c>
      <c r="D203" s="61">
        <v>33.75</v>
      </c>
      <c r="E203" s="61">
        <v>0.69</v>
      </c>
      <c r="F203" s="61">
        <f t="shared" si="12"/>
        <v>0.30259870000000433</v>
      </c>
      <c r="G203" s="61">
        <f t="shared" si="13"/>
        <v>0.38740129999999562</v>
      </c>
      <c r="H203" s="61">
        <f t="shared" si="14"/>
        <v>0.15007976724168662</v>
      </c>
      <c r="I203" s="59"/>
      <c r="J203" s="59"/>
    </row>
    <row r="204" spans="3:10" ht="14.25" customHeight="1" x14ac:dyDescent="0.4">
      <c r="C204" s="61">
        <v>716.2</v>
      </c>
      <c r="D204" s="61">
        <v>25.8</v>
      </c>
      <c r="E204" s="61">
        <v>18.579999999999998</v>
      </c>
      <c r="F204" s="61">
        <f t="shared" si="12"/>
        <v>17.400130000000001</v>
      </c>
      <c r="G204" s="61">
        <f t="shared" si="13"/>
        <v>1.1798699999999975</v>
      </c>
      <c r="H204" s="61">
        <f t="shared" si="14"/>
        <v>1.3920932168999942</v>
      </c>
      <c r="I204" s="59"/>
      <c r="J204" s="59"/>
    </row>
    <row r="205" spans="3:10" ht="14.25" customHeight="1" x14ac:dyDescent="0.4">
      <c r="C205" s="61">
        <v>914.82</v>
      </c>
      <c r="D205" s="61">
        <v>31.11</v>
      </c>
      <c r="E205" s="61">
        <v>19.52</v>
      </c>
      <c r="F205" s="61">
        <f t="shared" si="12"/>
        <v>19.337682900000004</v>
      </c>
      <c r="G205" s="61">
        <f t="shared" si="13"/>
        <v>0.18231709999999524</v>
      </c>
      <c r="H205" s="61">
        <f t="shared" si="14"/>
        <v>3.3239524952408263E-2</v>
      </c>
      <c r="I205" s="59"/>
      <c r="J205" s="59"/>
    </row>
    <row r="206" spans="3:10" ht="14.25" customHeight="1" x14ac:dyDescent="0.4">
      <c r="C206" s="61">
        <v>664.58</v>
      </c>
      <c r="D206" s="61">
        <v>32.729999999999997</v>
      </c>
      <c r="E206" s="61">
        <v>9.92</v>
      </c>
      <c r="F206" s="61">
        <f t="shared" si="12"/>
        <v>6.8799083000000039</v>
      </c>
      <c r="G206" s="61">
        <f t="shared" si="13"/>
        <v>3.0400916999999961</v>
      </c>
      <c r="H206" s="61">
        <f t="shared" si="14"/>
        <v>9.2421575444088653</v>
      </c>
      <c r="I206" s="59"/>
      <c r="J206" s="59"/>
    </row>
    <row r="207" spans="3:10" ht="14.25" customHeight="1" x14ac:dyDescent="0.4">
      <c r="C207" s="61">
        <v>1175.48</v>
      </c>
      <c r="D207" s="61">
        <v>28.36</v>
      </c>
      <c r="E207" s="61">
        <v>32.65</v>
      </c>
      <c r="F207" s="61">
        <f t="shared" si="12"/>
        <v>33.594957199999996</v>
      </c>
      <c r="G207" s="61">
        <f t="shared" si="13"/>
        <v>0.9449571999999975</v>
      </c>
      <c r="H207" s="61">
        <f t="shared" si="14"/>
        <v>0.89294410983183525</v>
      </c>
      <c r="I207" s="59"/>
      <c r="J207" s="59"/>
    </row>
    <row r="208" spans="3:10" ht="14.25" customHeight="1" x14ac:dyDescent="0.4">
      <c r="C208" s="61">
        <v>1161.53</v>
      </c>
      <c r="D208" s="61">
        <v>32.83</v>
      </c>
      <c r="E208" s="61">
        <v>26.72</v>
      </c>
      <c r="F208" s="61">
        <f t="shared" si="12"/>
        <v>27.621332300000006</v>
      </c>
      <c r="G208" s="61">
        <f t="shared" si="13"/>
        <v>0.90133230000000708</v>
      </c>
      <c r="H208" s="61">
        <f t="shared" si="14"/>
        <v>0.81239991502330278</v>
      </c>
      <c r="I208" s="59"/>
      <c r="J208" s="59"/>
    </row>
    <row r="209" spans="3:10" ht="14.25" customHeight="1" x14ac:dyDescent="0.4">
      <c r="C209" s="61">
        <v>1093.8800000000001</v>
      </c>
      <c r="D209" s="61">
        <v>18.41</v>
      </c>
      <c r="E209" s="61">
        <v>40.11</v>
      </c>
      <c r="F209" s="61">
        <f t="shared" si="12"/>
        <v>42.162820700000012</v>
      </c>
      <c r="G209" s="61">
        <f t="shared" si="13"/>
        <v>2.0528207000000123</v>
      </c>
      <c r="H209" s="61">
        <f t="shared" si="14"/>
        <v>4.2140728263485405</v>
      </c>
      <c r="I209" s="59"/>
      <c r="J209" s="59"/>
    </row>
    <row r="210" spans="3:10" ht="14.25" customHeight="1" x14ac:dyDescent="0.4">
      <c r="C210" s="61">
        <v>830.63</v>
      </c>
      <c r="D210" s="61">
        <v>22.62</v>
      </c>
      <c r="E210" s="61">
        <v>26.12</v>
      </c>
      <c r="F210" s="61">
        <f t="shared" si="12"/>
        <v>26.036978000000005</v>
      </c>
      <c r="G210" s="61">
        <f t="shared" si="13"/>
        <v>8.3021999999996154E-2</v>
      </c>
      <c r="H210" s="61">
        <f t="shared" si="14"/>
        <v>6.8926524839993614E-3</v>
      </c>
      <c r="I210" s="59"/>
      <c r="J210" s="59"/>
    </row>
    <row r="211" spans="3:10" ht="14.25" customHeight="1" x14ac:dyDescent="0.4">
      <c r="C211" s="61">
        <v>1089.03</v>
      </c>
      <c r="D211" s="61">
        <v>22.71</v>
      </c>
      <c r="E211" s="61">
        <v>37.33</v>
      </c>
      <c r="F211" s="61">
        <f t="shared" si="12"/>
        <v>36.776126700000006</v>
      </c>
      <c r="G211" s="61">
        <f t="shared" si="13"/>
        <v>0.55387329999999224</v>
      </c>
      <c r="H211" s="61">
        <f t="shared" si="14"/>
        <v>0.30677563245288142</v>
      </c>
      <c r="I211" s="59"/>
      <c r="J211" s="59"/>
    </row>
    <row r="212" spans="3:10" ht="14.25" customHeight="1" x14ac:dyDescent="0.4">
      <c r="C212" s="61">
        <v>591.78</v>
      </c>
      <c r="D212" s="61">
        <v>20.05</v>
      </c>
      <c r="E212" s="61">
        <v>18.5</v>
      </c>
      <c r="F212" s="61">
        <f t="shared" si="12"/>
        <v>19.107855900000001</v>
      </c>
      <c r="G212" s="61">
        <f t="shared" si="13"/>
        <v>0.60785590000000056</v>
      </c>
      <c r="H212" s="61">
        <f t="shared" si="14"/>
        <v>0.3694887951648107</v>
      </c>
      <c r="I212" s="59"/>
      <c r="J212" s="59"/>
    </row>
    <row r="213" spans="3:10" ht="14.25" customHeight="1" x14ac:dyDescent="0.4">
      <c r="C213" s="61">
        <v>716.11</v>
      </c>
      <c r="D213" s="61">
        <v>33.479999999999997</v>
      </c>
      <c r="E213" s="61">
        <v>8.39</v>
      </c>
      <c r="F213" s="61">
        <f t="shared" si="12"/>
        <v>8.1391102000000046</v>
      </c>
      <c r="G213" s="61">
        <f t="shared" si="13"/>
        <v>0.25088979999999594</v>
      </c>
      <c r="H213" s="61">
        <f t="shared" si="14"/>
        <v>6.2945691744037968E-2</v>
      </c>
      <c r="I213" s="59"/>
      <c r="J213" s="59"/>
    </row>
    <row r="214" spans="3:10" ht="14.25" customHeight="1" x14ac:dyDescent="0.4">
      <c r="C214" s="61">
        <v>824.1</v>
      </c>
      <c r="D214" s="61">
        <v>18.52</v>
      </c>
      <c r="E214" s="61">
        <v>31.82</v>
      </c>
      <c r="F214" s="61">
        <f t="shared" si="12"/>
        <v>30.704865600000005</v>
      </c>
      <c r="G214" s="61">
        <f t="shared" si="13"/>
        <v>1.1151343999999952</v>
      </c>
      <c r="H214" s="61">
        <f t="shared" si="14"/>
        <v>1.2435247300633492</v>
      </c>
      <c r="I214" s="59"/>
      <c r="J214" s="59"/>
    </row>
    <row r="215" spans="3:10" ht="14.25" customHeight="1" x14ac:dyDescent="0.4">
      <c r="C215" s="61">
        <v>1019.29</v>
      </c>
      <c r="D215" s="61">
        <v>29.43</v>
      </c>
      <c r="E215" s="61">
        <v>25.26</v>
      </c>
      <c r="F215" s="61">
        <f t="shared" si="12"/>
        <v>25.748355100000005</v>
      </c>
      <c r="G215" s="61">
        <f t="shared" si="13"/>
        <v>0.48835510000000326</v>
      </c>
      <c r="H215" s="61">
        <f t="shared" si="14"/>
        <v>0.23849070369601319</v>
      </c>
      <c r="I215" s="59"/>
      <c r="J215" s="59"/>
    </row>
    <row r="216" spans="3:10" ht="14.25" customHeight="1" x14ac:dyDescent="0.4">
      <c r="C216" s="61">
        <v>840.08</v>
      </c>
      <c r="D216" s="61">
        <v>19.21</v>
      </c>
      <c r="E216" s="61">
        <v>29.77</v>
      </c>
      <c r="F216" s="61">
        <f t="shared" si="12"/>
        <v>30.544000700000005</v>
      </c>
      <c r="G216" s="61">
        <f t="shared" si="13"/>
        <v>0.77400070000000554</v>
      </c>
      <c r="H216" s="61">
        <f t="shared" si="14"/>
        <v>0.59907708360049861</v>
      </c>
      <c r="I216" s="59"/>
      <c r="J216" s="59"/>
    </row>
    <row r="217" spans="3:10" ht="14.25" customHeight="1" x14ac:dyDescent="0.4">
      <c r="C217" s="61">
        <v>595.80999999999995</v>
      </c>
      <c r="D217" s="61">
        <v>24.13</v>
      </c>
      <c r="E217" s="61">
        <v>16.329999999999998</v>
      </c>
      <c r="F217" s="61">
        <f t="shared" si="12"/>
        <v>14.3591257</v>
      </c>
      <c r="G217" s="61">
        <f t="shared" si="13"/>
        <v>1.9708742999999984</v>
      </c>
      <c r="H217" s="61">
        <f t="shared" si="14"/>
        <v>3.8843455064004839</v>
      </c>
      <c r="I217" s="59"/>
      <c r="J217" s="59"/>
    </row>
    <row r="218" spans="3:10" ht="14.25" customHeight="1" x14ac:dyDescent="0.4">
      <c r="C218" s="61">
        <v>740.48</v>
      </c>
      <c r="D218" s="61">
        <v>25.11</v>
      </c>
      <c r="E218" s="61">
        <v>19.64</v>
      </c>
      <c r="F218" s="61">
        <f t="shared" si="12"/>
        <v>19.251109700000004</v>
      </c>
      <c r="G218" s="61">
        <f t="shared" si="13"/>
        <v>0.38889029999999636</v>
      </c>
      <c r="H218" s="61">
        <f t="shared" si="14"/>
        <v>0.15123566543408717</v>
      </c>
      <c r="I218" s="59"/>
      <c r="J218" s="59"/>
    </row>
    <row r="219" spans="3:10" ht="14.25" customHeight="1" x14ac:dyDescent="0.4">
      <c r="C219" s="61">
        <v>727.1</v>
      </c>
      <c r="D219" s="61">
        <v>21.08</v>
      </c>
      <c r="E219" s="61">
        <v>24.38</v>
      </c>
      <c r="F219" s="61">
        <f t="shared" si="12"/>
        <v>23.547058400000008</v>
      </c>
      <c r="G219" s="61">
        <f t="shared" si="13"/>
        <v>0.83294159999999096</v>
      </c>
      <c r="H219" s="61">
        <f t="shared" si="14"/>
        <v>0.69379170901054499</v>
      </c>
      <c r="I219" s="59"/>
      <c r="J219" s="59"/>
    </row>
    <row r="220" spans="3:10" ht="14.25" customHeight="1" x14ac:dyDescent="0.4">
      <c r="C220" s="61">
        <v>710.29</v>
      </c>
      <c r="D220" s="61">
        <v>26.86</v>
      </c>
      <c r="E220" s="61">
        <v>17.940000000000001</v>
      </c>
      <c r="F220" s="61">
        <f t="shared" si="12"/>
        <v>15.874336</v>
      </c>
      <c r="G220" s="61">
        <f t="shared" si="13"/>
        <v>2.0656640000000017</v>
      </c>
      <c r="H220" s="61">
        <f t="shared" si="14"/>
        <v>4.2669677608960068</v>
      </c>
      <c r="I220" s="59"/>
      <c r="J220" s="59"/>
    </row>
    <row r="221" spans="3:10" ht="14.25" customHeight="1" x14ac:dyDescent="0.4">
      <c r="C221" s="61">
        <v>615.85</v>
      </c>
      <c r="D221" s="61">
        <v>27.09</v>
      </c>
      <c r="E221" s="61">
        <v>13.84</v>
      </c>
      <c r="F221" s="61">
        <f t="shared" si="12"/>
        <v>11.6325097</v>
      </c>
      <c r="G221" s="61">
        <f t="shared" si="13"/>
        <v>2.2074902999999999</v>
      </c>
      <c r="H221" s="61">
        <f t="shared" si="14"/>
        <v>4.8730134245940899</v>
      </c>
      <c r="I221" s="59"/>
      <c r="J221" s="59"/>
    </row>
    <row r="222" spans="3:10" ht="14.25" customHeight="1" x14ac:dyDescent="0.4">
      <c r="C222" s="61">
        <v>790.43</v>
      </c>
      <c r="D222" s="61">
        <v>23.39</v>
      </c>
      <c r="E222" s="61">
        <v>23.03</v>
      </c>
      <c r="F222" s="61">
        <f t="shared" si="12"/>
        <v>23.421247099999999</v>
      </c>
      <c r="G222" s="61">
        <f t="shared" si="13"/>
        <v>0.39124709999999752</v>
      </c>
      <c r="H222" s="61">
        <f t="shared" si="14"/>
        <v>0.15307429325840805</v>
      </c>
      <c r="I222" s="59"/>
      <c r="J222" s="59"/>
    </row>
    <row r="223" spans="3:10" ht="14.25" customHeight="1" x14ac:dyDescent="0.4">
      <c r="C223" s="61">
        <v>813.68</v>
      </c>
      <c r="D223" s="61">
        <v>30.53</v>
      </c>
      <c r="E223" s="61">
        <v>15.12</v>
      </c>
      <c r="F223" s="61">
        <f t="shared" si="12"/>
        <v>15.790940300000003</v>
      </c>
      <c r="G223" s="61">
        <f t="shared" si="13"/>
        <v>0.67094030000000338</v>
      </c>
      <c r="H223" s="61">
        <f t="shared" si="14"/>
        <v>0.45016088616409455</v>
      </c>
      <c r="I223" s="59"/>
      <c r="J223" s="59"/>
    </row>
    <row r="224" spans="3:10" ht="14.25" customHeight="1" x14ac:dyDescent="0.4">
      <c r="C224" s="61">
        <v>1042.43</v>
      </c>
      <c r="D224" s="61">
        <v>20.72</v>
      </c>
      <c r="E224" s="61">
        <v>37.26</v>
      </c>
      <c r="F224" s="61">
        <f t="shared" si="12"/>
        <v>37.218545000000006</v>
      </c>
      <c r="G224" s="61">
        <f t="shared" si="13"/>
        <v>4.1454999999992026E-2</v>
      </c>
      <c r="H224" s="61">
        <f t="shared" si="14"/>
        <v>1.7185170249993389E-3</v>
      </c>
      <c r="I224" s="59"/>
      <c r="J224" s="59"/>
    </row>
    <row r="225" spans="3:10" ht="14.25" customHeight="1" x14ac:dyDescent="0.4">
      <c r="C225" s="61">
        <v>1057.47</v>
      </c>
      <c r="D225" s="61">
        <v>21.27</v>
      </c>
      <c r="E225" s="61">
        <v>36.57</v>
      </c>
      <c r="F225" s="61">
        <f t="shared" si="12"/>
        <v>37.186970700000003</v>
      </c>
      <c r="G225" s="61">
        <f t="shared" si="13"/>
        <v>0.61697070000000309</v>
      </c>
      <c r="H225" s="61">
        <f t="shared" si="14"/>
        <v>0.38065284465849381</v>
      </c>
      <c r="I225" s="59"/>
      <c r="J225" s="59"/>
    </row>
    <row r="226" spans="3:10" ht="14.25" customHeight="1" x14ac:dyDescent="0.4">
      <c r="C226" s="61">
        <v>865.67</v>
      </c>
      <c r="D226" s="61">
        <v>24.03</v>
      </c>
      <c r="E226" s="61">
        <v>22.95</v>
      </c>
      <c r="F226" s="61">
        <f t="shared" si="12"/>
        <v>25.808385499999996</v>
      </c>
      <c r="G226" s="61">
        <f t="shared" si="13"/>
        <v>2.8583854999999971</v>
      </c>
      <c r="H226" s="61">
        <f t="shared" si="14"/>
        <v>8.1703676666102343</v>
      </c>
      <c r="I226" s="59"/>
      <c r="J226" s="59"/>
    </row>
    <row r="227" spans="3:10" ht="14.25" customHeight="1" x14ac:dyDescent="0.4">
      <c r="C227" s="61">
        <v>822.44</v>
      </c>
      <c r="D227" s="61">
        <v>24.43</v>
      </c>
      <c r="E227" s="61">
        <v>25.49</v>
      </c>
      <c r="F227" s="61">
        <f t="shared" si="12"/>
        <v>23.511442100000007</v>
      </c>
      <c r="G227" s="61">
        <f t="shared" si="13"/>
        <v>1.9785578999999913</v>
      </c>
      <c r="H227" s="61">
        <f t="shared" si="14"/>
        <v>3.9146913636523757</v>
      </c>
      <c r="I227" s="59"/>
      <c r="J227" s="59"/>
    </row>
    <row r="228" spans="3:10" ht="14.25" customHeight="1" x14ac:dyDescent="0.4">
      <c r="C228" s="61">
        <v>1044.75</v>
      </c>
      <c r="D228" s="61">
        <v>21.51</v>
      </c>
      <c r="E228" s="61">
        <v>36.01</v>
      </c>
      <c r="F228" s="61">
        <f t="shared" si="12"/>
        <v>36.363696300000001</v>
      </c>
      <c r="G228" s="61">
        <f t="shared" si="13"/>
        <v>0.35369630000000285</v>
      </c>
      <c r="H228" s="61">
        <f t="shared" si="14"/>
        <v>0.12510107263369202</v>
      </c>
      <c r="I228" s="59"/>
      <c r="J228" s="59"/>
    </row>
    <row r="229" spans="3:10" ht="14.25" customHeight="1" x14ac:dyDescent="0.4">
      <c r="C229" s="61">
        <v>1121.0999999999999</v>
      </c>
      <c r="D229" s="61">
        <v>33.619999999999997</v>
      </c>
      <c r="E229" s="61">
        <v>25.61</v>
      </c>
      <c r="F229" s="61">
        <f t="shared" si="12"/>
        <v>24.971838599999991</v>
      </c>
      <c r="G229" s="61">
        <f t="shared" si="13"/>
        <v>0.63816140000000843</v>
      </c>
      <c r="H229" s="61">
        <f t="shared" si="14"/>
        <v>0.40724997244997074</v>
      </c>
      <c r="I229" s="59"/>
      <c r="J229" s="59"/>
    </row>
    <row r="230" spans="3:10" ht="14.25" customHeight="1" x14ac:dyDescent="0.4">
      <c r="C230" s="61">
        <v>972.44</v>
      </c>
      <c r="D230" s="61">
        <v>32.08</v>
      </c>
      <c r="E230" s="61">
        <v>18.649999999999999</v>
      </c>
      <c r="F230" s="61">
        <f t="shared" si="12"/>
        <v>20.587361600000001</v>
      </c>
      <c r="G230" s="61">
        <f t="shared" si="13"/>
        <v>1.9373616000000027</v>
      </c>
      <c r="H230" s="61">
        <f t="shared" si="14"/>
        <v>3.7533699691545706</v>
      </c>
      <c r="I230" s="59"/>
      <c r="J230" s="59"/>
    </row>
    <row r="231" spans="3:10" ht="14.25" customHeight="1" x14ac:dyDescent="0.4">
      <c r="C231" s="61">
        <v>1060.3399999999999</v>
      </c>
      <c r="D231" s="61">
        <v>19.82</v>
      </c>
      <c r="E231" s="61">
        <v>40.57</v>
      </c>
      <c r="F231" s="61">
        <f t="shared" si="12"/>
        <v>39.055239799999995</v>
      </c>
      <c r="G231" s="61">
        <f t="shared" si="13"/>
        <v>1.5147602000000049</v>
      </c>
      <c r="H231" s="61">
        <f t="shared" si="14"/>
        <v>2.2944984635040546</v>
      </c>
      <c r="I231" s="59"/>
      <c r="J231" s="59"/>
    </row>
    <row r="232" spans="3:10" ht="14.25" customHeight="1" x14ac:dyDescent="0.4">
      <c r="C232" s="61">
        <v>1157.3800000000001</v>
      </c>
      <c r="D232" s="61">
        <v>24.28</v>
      </c>
      <c r="E232" s="61">
        <v>36.28</v>
      </c>
      <c r="F232" s="61">
        <f t="shared" si="12"/>
        <v>37.75302880000001</v>
      </c>
      <c r="G232" s="61">
        <f t="shared" si="13"/>
        <v>1.4730288000000087</v>
      </c>
      <c r="H232" s="61">
        <f t="shared" si="14"/>
        <v>2.1698138456294656</v>
      </c>
      <c r="I232" s="59"/>
      <c r="J232" s="59"/>
    </row>
    <row r="233" spans="3:10" ht="14.25" customHeight="1" x14ac:dyDescent="0.4">
      <c r="C233" s="61">
        <v>528.46</v>
      </c>
      <c r="D233" s="61">
        <v>21.96</v>
      </c>
      <c r="E233" s="61">
        <v>14.63</v>
      </c>
      <c r="F233" s="61">
        <f t="shared" si="12"/>
        <v>14.147425600000002</v>
      </c>
      <c r="G233" s="61">
        <f t="shared" si="13"/>
        <v>0.48257439999999896</v>
      </c>
      <c r="H233" s="61">
        <f t="shared" si="14"/>
        <v>0.23287805153535901</v>
      </c>
      <c r="I233" s="59"/>
      <c r="J233" s="59"/>
    </row>
    <row r="234" spans="3:10" ht="14.25" customHeight="1" x14ac:dyDescent="0.4">
      <c r="C234" s="61">
        <v>1112.97</v>
      </c>
      <c r="D234" s="61">
        <v>25.67</v>
      </c>
      <c r="E234" s="61">
        <v>31.61</v>
      </c>
      <c r="F234" s="61">
        <f t="shared" si="12"/>
        <v>34.213232700000006</v>
      </c>
      <c r="G234" s="61">
        <f t="shared" si="13"/>
        <v>2.6032327000000066</v>
      </c>
      <c r="H234" s="61">
        <f t="shared" si="14"/>
        <v>6.7768204903493245</v>
      </c>
      <c r="I234" s="59"/>
      <c r="J234" s="59"/>
    </row>
    <row r="235" spans="3:10" ht="14.25" customHeight="1" x14ac:dyDescent="0.4">
      <c r="C235" s="61">
        <v>693.59</v>
      </c>
      <c r="D235" s="61">
        <v>22.7</v>
      </c>
      <c r="E235" s="61">
        <v>20.260000000000002</v>
      </c>
      <c r="F235" s="61">
        <f t="shared" si="12"/>
        <v>20.187609200000004</v>
      </c>
      <c r="G235" s="61">
        <f t="shared" si="13"/>
        <v>7.2390799999997313E-2</v>
      </c>
      <c r="H235" s="61">
        <f t="shared" si="14"/>
        <v>5.2404279246396112E-3</v>
      </c>
      <c r="I235" s="59"/>
      <c r="J235" s="59"/>
    </row>
    <row r="236" spans="3:10" ht="14.25" customHeight="1" x14ac:dyDescent="0.4">
      <c r="C236" s="61">
        <v>833.04</v>
      </c>
      <c r="D236" s="61">
        <v>26.53</v>
      </c>
      <c r="E236" s="61">
        <v>21.14</v>
      </c>
      <c r="F236" s="61">
        <f t="shared" si="12"/>
        <v>21.425153099999999</v>
      </c>
      <c r="G236" s="61">
        <f t="shared" si="13"/>
        <v>0.28515309999999872</v>
      </c>
      <c r="H236" s="61">
        <f t="shared" si="14"/>
        <v>8.1312290439609261E-2</v>
      </c>
      <c r="I236" s="59"/>
      <c r="J236" s="59"/>
    </row>
    <row r="237" spans="3:10" ht="14.25" customHeight="1" x14ac:dyDescent="0.4">
      <c r="C237" s="61">
        <v>1057.73</v>
      </c>
      <c r="D237" s="61">
        <v>33.68</v>
      </c>
      <c r="E237" s="61">
        <v>21.61</v>
      </c>
      <c r="F237" s="61">
        <f t="shared" si="12"/>
        <v>22.239243800000004</v>
      </c>
      <c r="G237" s="61">
        <f t="shared" si="13"/>
        <v>0.62924380000000468</v>
      </c>
      <c r="H237" s="61">
        <f t="shared" si="14"/>
        <v>0.39594775983844588</v>
      </c>
      <c r="I237" s="59"/>
      <c r="J237" s="59"/>
    </row>
    <row r="238" spans="3:10" ht="14.25" customHeight="1" x14ac:dyDescent="0.4">
      <c r="C238" s="61">
        <v>1002.07</v>
      </c>
      <c r="D238" s="61">
        <v>24.5</v>
      </c>
      <c r="E238" s="61">
        <v>31.34</v>
      </c>
      <c r="F238" s="61">
        <f t="shared" si="12"/>
        <v>30.967933600000009</v>
      </c>
      <c r="G238" s="61">
        <f t="shared" si="13"/>
        <v>0.37206639999999069</v>
      </c>
      <c r="H238" s="61">
        <f t="shared" si="14"/>
        <v>0.13843340600895307</v>
      </c>
      <c r="I238" s="59"/>
      <c r="J238" s="59"/>
    </row>
    <row r="239" spans="3:10" ht="14.25" customHeight="1" x14ac:dyDescent="0.4">
      <c r="C239" s="61">
        <v>603</v>
      </c>
      <c r="D239" s="61">
        <v>29.05</v>
      </c>
      <c r="E239" s="61">
        <v>9.35</v>
      </c>
      <c r="F239" s="61">
        <f t="shared" si="12"/>
        <v>8.7305415000000011</v>
      </c>
      <c r="G239" s="61">
        <f t="shared" si="13"/>
        <v>0.61945849999999858</v>
      </c>
      <c r="H239" s="61">
        <f t="shared" si="14"/>
        <v>0.38372883322224827</v>
      </c>
      <c r="I239" s="59"/>
      <c r="J239" s="59"/>
    </row>
    <row r="240" spans="3:10" ht="14.25" customHeight="1" x14ac:dyDescent="0.4">
      <c r="C240" s="61">
        <v>961.12</v>
      </c>
      <c r="D240" s="61">
        <v>28.13</v>
      </c>
      <c r="E240" s="61">
        <v>26.16</v>
      </c>
      <c r="F240" s="61">
        <f t="shared" si="12"/>
        <v>24.873359500000007</v>
      </c>
      <c r="G240" s="61">
        <f t="shared" si="13"/>
        <v>1.2866404999999936</v>
      </c>
      <c r="H240" s="61">
        <f t="shared" si="14"/>
        <v>1.6554437762402336</v>
      </c>
      <c r="I240" s="59"/>
      <c r="J240" s="59"/>
    </row>
    <row r="241" spans="3:10" ht="14.25" customHeight="1" x14ac:dyDescent="0.4">
      <c r="C241" s="59"/>
      <c r="D241" s="59"/>
      <c r="E241" s="59"/>
      <c r="F241" s="59"/>
      <c r="G241" s="59"/>
      <c r="H241" s="59"/>
      <c r="I241" s="59"/>
      <c r="J241" s="59"/>
    </row>
    <row r="242" spans="3:10" ht="14.25" customHeight="1" x14ac:dyDescent="0.4">
      <c r="C242" s="59"/>
      <c r="D242" s="59"/>
      <c r="E242" s="59"/>
      <c r="F242" s="59"/>
      <c r="G242" s="59"/>
      <c r="H242" s="59"/>
      <c r="I242" s="59"/>
      <c r="J242" s="59"/>
    </row>
    <row r="243" spans="3:10" ht="14.25" customHeight="1" x14ac:dyDescent="0.4">
      <c r="C243" s="59"/>
      <c r="D243" s="59"/>
      <c r="E243" s="59"/>
      <c r="F243" s="59"/>
      <c r="G243" s="59"/>
      <c r="H243" s="59"/>
      <c r="I243" s="59"/>
      <c r="J243" s="59"/>
    </row>
    <row r="244" spans="3:10" ht="14.25" customHeight="1" x14ac:dyDescent="0.35"/>
    <row r="245" spans="3:10" ht="14.25" customHeight="1" x14ac:dyDescent="0.35"/>
    <row r="246" spans="3:10" ht="14.25" customHeight="1" x14ac:dyDescent="0.35"/>
    <row r="247" spans="3:10" ht="14.25" customHeight="1" x14ac:dyDescent="0.35"/>
    <row r="248" spans="3:10" ht="14.25" customHeight="1" x14ac:dyDescent="0.35"/>
    <row r="249" spans="3:10" ht="14.25" customHeight="1" x14ac:dyDescent="0.35"/>
    <row r="250" spans="3:10" ht="14.25" customHeight="1" x14ac:dyDescent="0.35"/>
    <row r="251" spans="3:10" ht="14.25" customHeight="1" x14ac:dyDescent="0.35"/>
    <row r="252" spans="3:10" ht="14.25" customHeight="1" x14ac:dyDescent="0.35"/>
    <row r="253" spans="3:10" ht="14.25" customHeight="1" x14ac:dyDescent="0.35"/>
    <row r="254" spans="3:10" ht="14.25" customHeight="1" x14ac:dyDescent="0.35"/>
    <row r="255" spans="3:10" ht="14.25" customHeight="1" x14ac:dyDescent="0.35"/>
    <row r="256" spans="3:10"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4">
    <mergeCell ref="H6:H8"/>
    <mergeCell ref="I6:L8"/>
    <mergeCell ref="I9:L10"/>
    <mergeCell ref="A17:E24"/>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000"/>
  <sheetViews>
    <sheetView topLeftCell="A191" workbookViewId="0"/>
  </sheetViews>
  <sheetFormatPr defaultColWidth="12.6328125" defaultRowHeight="15" customHeight="1" x14ac:dyDescent="0.35"/>
  <cols>
    <col min="1" max="1" width="8.6328125" customWidth="1"/>
    <col min="2" max="2" width="11.453125" customWidth="1"/>
    <col min="3" max="3" width="14.90625" customWidth="1"/>
    <col min="4" max="4" width="14.26953125" customWidth="1"/>
    <col min="5" max="5" width="14.453125" customWidth="1"/>
    <col min="6" max="6" width="24.08984375" customWidth="1"/>
    <col min="7" max="7" width="27.90625" customWidth="1"/>
    <col min="8" max="8" width="25.36328125" customWidth="1"/>
    <col min="9" max="9" width="11.36328125" customWidth="1"/>
    <col min="10" max="26" width="8.6328125" customWidth="1"/>
  </cols>
  <sheetData>
    <row r="1" spans="1:9" ht="14.25" customHeight="1" x14ac:dyDescent="0.35"/>
    <row r="2" spans="1:9" ht="14.25" customHeight="1" x14ac:dyDescent="0.35">
      <c r="B2" s="9" t="s">
        <v>11</v>
      </c>
    </row>
    <row r="3" spans="1:9" ht="14.25" customHeight="1" x14ac:dyDescent="0.35"/>
    <row r="4" spans="1:9" ht="14.25" customHeight="1" x14ac:dyDescent="0.35"/>
    <row r="5" spans="1:9" ht="14.25" customHeight="1" x14ac:dyDescent="0.35">
      <c r="A5" s="25" t="s">
        <v>0</v>
      </c>
      <c r="B5" s="25" t="s">
        <v>1</v>
      </c>
      <c r="C5" s="25" t="s">
        <v>2</v>
      </c>
      <c r="D5" s="26" t="s">
        <v>12</v>
      </c>
      <c r="E5" s="27" t="s">
        <v>13</v>
      </c>
      <c r="F5" s="27" t="s">
        <v>14</v>
      </c>
      <c r="G5" s="27" t="s">
        <v>14</v>
      </c>
      <c r="H5" s="28" t="s">
        <v>61</v>
      </c>
      <c r="I5" s="29" t="s">
        <v>86</v>
      </c>
    </row>
    <row r="6" spans="1:9" ht="14.25" customHeight="1" x14ac:dyDescent="0.35">
      <c r="A6" s="28">
        <v>8</v>
      </c>
      <c r="B6" s="28">
        <v>650</v>
      </c>
      <c r="C6" s="28">
        <v>29</v>
      </c>
      <c r="D6" s="30">
        <v>3.9</v>
      </c>
      <c r="E6" s="31">
        <f t="shared" ref="E6:E8" si="0">0.002*B6-0.05*C6+1.5</f>
        <v>1.3499999999999999</v>
      </c>
      <c r="F6" s="28">
        <f t="shared" ref="F6:F8" si="1">ABS(D6-E6)</f>
        <v>2.5499999999999998</v>
      </c>
      <c r="G6" s="28">
        <f t="shared" ref="G6:G8" si="2">F6^2</f>
        <v>6.5024999999999995</v>
      </c>
      <c r="H6" s="55">
        <f>AVERAGE(G6:G8)</f>
        <v>7.235833333333332</v>
      </c>
      <c r="I6" s="56">
        <f>SQRT(H6)</f>
        <v>2.6899504332484145</v>
      </c>
    </row>
    <row r="7" spans="1:9" ht="14.25" customHeight="1" x14ac:dyDescent="0.35">
      <c r="A7" s="28">
        <v>9</v>
      </c>
      <c r="B7" s="28">
        <v>700</v>
      </c>
      <c r="C7" s="28">
        <v>27</v>
      </c>
      <c r="D7" s="30">
        <v>4.0999999999999996</v>
      </c>
      <c r="E7" s="31">
        <f t="shared" si="0"/>
        <v>1.55</v>
      </c>
      <c r="F7" s="28">
        <f t="shared" si="1"/>
        <v>2.5499999999999998</v>
      </c>
      <c r="G7" s="28">
        <f t="shared" si="2"/>
        <v>6.5024999999999995</v>
      </c>
      <c r="H7" s="38"/>
      <c r="I7" s="38"/>
    </row>
    <row r="8" spans="1:9" ht="14.25" customHeight="1" x14ac:dyDescent="0.35">
      <c r="A8" s="28">
        <v>10</v>
      </c>
      <c r="B8" s="28">
        <v>950</v>
      </c>
      <c r="C8" s="28">
        <v>21</v>
      </c>
      <c r="D8" s="30">
        <v>5.3</v>
      </c>
      <c r="E8" s="31">
        <f t="shared" si="0"/>
        <v>2.35</v>
      </c>
      <c r="F8" s="28">
        <f t="shared" si="1"/>
        <v>2.9499999999999997</v>
      </c>
      <c r="G8" s="28">
        <f t="shared" si="2"/>
        <v>8.7024999999999988</v>
      </c>
      <c r="H8" s="39"/>
      <c r="I8" s="39"/>
    </row>
    <row r="9" spans="1:9" ht="14.25" customHeight="1" x14ac:dyDescent="0.35">
      <c r="I9" s="57"/>
    </row>
    <row r="10" spans="1:9" ht="14.25" customHeight="1" x14ac:dyDescent="0.35">
      <c r="I10" s="44"/>
    </row>
    <row r="11" spans="1:9" ht="14.25" customHeight="1" x14ac:dyDescent="0.35">
      <c r="F11" s="24"/>
      <c r="H11" s="17"/>
    </row>
    <row r="12" spans="1:9" ht="14.25" customHeight="1" x14ac:dyDescent="0.35">
      <c r="F12" s="17" t="s">
        <v>87</v>
      </c>
    </row>
    <row r="13" spans="1:9" ht="14.25" customHeight="1" x14ac:dyDescent="0.35">
      <c r="I13" s="17"/>
    </row>
    <row r="14" spans="1:9" ht="14.25" customHeight="1" x14ac:dyDescent="0.35">
      <c r="F14" s="24" t="s">
        <v>88</v>
      </c>
    </row>
    <row r="15" spans="1:9" ht="14.25" customHeight="1" x14ac:dyDescent="0.35">
      <c r="H15" s="24"/>
    </row>
    <row r="16" spans="1:9" ht="14.25" customHeight="1" x14ac:dyDescent="0.35">
      <c r="F16" s="18" t="s">
        <v>89</v>
      </c>
      <c r="I16" s="19"/>
    </row>
    <row r="17" spans="1:9" ht="14.25" customHeight="1" x14ac:dyDescent="0.35">
      <c r="A17" s="53"/>
      <c r="B17" s="44"/>
      <c r="C17" s="44"/>
      <c r="D17" s="44"/>
      <c r="E17" s="44"/>
      <c r="I17" s="19"/>
    </row>
    <row r="18" spans="1:9" ht="14.25" customHeight="1" x14ac:dyDescent="0.35">
      <c r="A18" s="44"/>
      <c r="B18" s="44"/>
      <c r="C18" s="44"/>
      <c r="D18" s="44"/>
      <c r="E18" s="44"/>
      <c r="F18" s="32" t="s">
        <v>90</v>
      </c>
      <c r="G18" s="32" t="s">
        <v>91</v>
      </c>
      <c r="I18" s="19"/>
    </row>
    <row r="19" spans="1:9" ht="14.25" customHeight="1" x14ac:dyDescent="0.35">
      <c r="A19" s="44"/>
      <c r="B19" s="44"/>
      <c r="C19" s="44"/>
      <c r="D19" s="44"/>
      <c r="E19" s="44"/>
      <c r="F19" s="33">
        <v>1</v>
      </c>
      <c r="G19" s="33">
        <v>1</v>
      </c>
    </row>
    <row r="20" spans="1:9" ht="14.25" customHeight="1" x14ac:dyDescent="0.35">
      <c r="A20" s="44"/>
      <c r="B20" s="44"/>
      <c r="C20" s="44"/>
      <c r="D20" s="44"/>
      <c r="E20" s="44"/>
      <c r="F20" s="33">
        <v>2</v>
      </c>
      <c r="G20" s="33">
        <v>2</v>
      </c>
    </row>
    <row r="21" spans="1:9" ht="14.25" customHeight="1" x14ac:dyDescent="0.35">
      <c r="A21" s="44"/>
      <c r="B21" s="44"/>
      <c r="C21" s="44"/>
      <c r="D21" s="44"/>
      <c r="E21" s="44"/>
      <c r="F21" s="33">
        <v>5</v>
      </c>
      <c r="G21" s="33">
        <v>5</v>
      </c>
      <c r="H21" s="24"/>
    </row>
    <row r="22" spans="1:9" ht="14.25" customHeight="1" x14ac:dyDescent="0.35">
      <c r="A22" s="44"/>
      <c r="B22" s="44"/>
      <c r="C22" s="44"/>
      <c r="D22" s="44"/>
      <c r="E22" s="44"/>
      <c r="I22" s="17"/>
    </row>
    <row r="23" spans="1:9" ht="14.25" customHeight="1" x14ac:dyDescent="0.35">
      <c r="A23" s="44"/>
      <c r="B23" s="44"/>
      <c r="C23" s="44"/>
      <c r="D23" s="44"/>
      <c r="E23" s="44"/>
      <c r="F23" s="24" t="s">
        <v>92</v>
      </c>
    </row>
    <row r="24" spans="1:9" ht="14.25" customHeight="1" x14ac:dyDescent="0.35">
      <c r="A24" s="44"/>
      <c r="B24" s="44"/>
      <c r="C24" s="44"/>
      <c r="D24" s="44"/>
      <c r="E24" s="44"/>
    </row>
    <row r="25" spans="1:9" ht="14.25" customHeight="1" x14ac:dyDescent="0.35">
      <c r="F25" s="18" t="s">
        <v>93</v>
      </c>
      <c r="I25" s="19"/>
    </row>
    <row r="26" spans="1:9" ht="14.25" customHeight="1" x14ac:dyDescent="0.35">
      <c r="I26" s="19"/>
    </row>
    <row r="27" spans="1:9" ht="14.25" customHeight="1" x14ac:dyDescent="0.35">
      <c r="F27" s="32" t="s">
        <v>90</v>
      </c>
      <c r="G27" s="32" t="s">
        <v>94</v>
      </c>
      <c r="I27" s="19"/>
    </row>
    <row r="28" spans="1:9" ht="14.25" customHeight="1" x14ac:dyDescent="0.35">
      <c r="F28" s="33">
        <v>1</v>
      </c>
      <c r="G28" s="33" t="s">
        <v>95</v>
      </c>
      <c r="H28" s="19"/>
      <c r="I28" s="19"/>
    </row>
    <row r="29" spans="1:9" ht="14.25" customHeight="1" x14ac:dyDescent="0.35">
      <c r="F29" s="33">
        <v>2</v>
      </c>
      <c r="G29" s="33" t="s">
        <v>96</v>
      </c>
      <c r="H29" s="19"/>
    </row>
    <row r="30" spans="1:9" ht="14.25" customHeight="1" x14ac:dyDescent="0.35">
      <c r="F30" s="33">
        <v>5</v>
      </c>
      <c r="G30" s="33" t="s">
        <v>97</v>
      </c>
      <c r="H30" s="19"/>
    </row>
    <row r="31" spans="1:9" ht="14.25" customHeight="1" x14ac:dyDescent="0.35">
      <c r="H31" s="19"/>
      <c r="I31" s="19"/>
    </row>
    <row r="32" spans="1:9" ht="14.25" customHeight="1" x14ac:dyDescent="0.35">
      <c r="F32" s="18" t="s">
        <v>80</v>
      </c>
      <c r="I32" s="19"/>
    </row>
    <row r="33" spans="2:9" ht="14.25" customHeight="1" x14ac:dyDescent="0.35">
      <c r="B33" s="19"/>
      <c r="F33" s="19"/>
      <c r="I33" s="19"/>
    </row>
    <row r="34" spans="2:9" ht="14.25" customHeight="1" x14ac:dyDescent="0.35">
      <c r="B34" s="19"/>
      <c r="F34" s="34" t="s">
        <v>98</v>
      </c>
    </row>
    <row r="35" spans="2:9" ht="14.25" customHeight="1" x14ac:dyDescent="0.35"/>
    <row r="36" spans="2:9" ht="14.25" customHeight="1" x14ac:dyDescent="0.35"/>
    <row r="37" spans="2:9" ht="14.25" customHeight="1" x14ac:dyDescent="0.35">
      <c r="B37" s="19"/>
      <c r="I37" s="17"/>
    </row>
    <row r="38" spans="2:9" ht="14.25" customHeight="1" x14ac:dyDescent="0.35">
      <c r="B38" s="19"/>
      <c r="F38" s="17" t="s">
        <v>99</v>
      </c>
    </row>
    <row r="39" spans="2:9" ht="14.25" customHeight="1" x14ac:dyDescent="0.35"/>
    <row r="40" spans="2:9" ht="14.25" customHeight="1" x14ac:dyDescent="0.35">
      <c r="F40" s="32" t="s">
        <v>100</v>
      </c>
      <c r="G40" s="32" t="s">
        <v>101</v>
      </c>
      <c r="I40" s="19"/>
    </row>
    <row r="41" spans="2:9" ht="14.25" customHeight="1" x14ac:dyDescent="0.35">
      <c r="F41" s="33" t="s">
        <v>15</v>
      </c>
      <c r="G41" s="33" t="s">
        <v>102</v>
      </c>
      <c r="I41" s="19"/>
    </row>
    <row r="42" spans="2:9" ht="14.25" customHeight="1" x14ac:dyDescent="0.35">
      <c r="F42" s="33" t="s">
        <v>86</v>
      </c>
      <c r="G42" s="33" t="s">
        <v>103</v>
      </c>
      <c r="I42" s="19"/>
    </row>
    <row r="43" spans="2:9" ht="14.25" customHeight="1" x14ac:dyDescent="0.35">
      <c r="I43" s="19"/>
    </row>
    <row r="44" spans="2:9" ht="14.25" customHeight="1" x14ac:dyDescent="0.35">
      <c r="F44" s="18" t="s">
        <v>104</v>
      </c>
    </row>
    <row r="45" spans="2:9" ht="14.25" customHeight="1" x14ac:dyDescent="0.35">
      <c r="F45" s="19"/>
    </row>
    <row r="46" spans="2:9" ht="14.25" customHeight="1" x14ac:dyDescent="0.35">
      <c r="F46" s="19" t="s">
        <v>105</v>
      </c>
      <c r="I46" s="19"/>
    </row>
    <row r="47" spans="2:9" ht="14.25" customHeight="1" x14ac:dyDescent="0.35">
      <c r="I47" s="19"/>
    </row>
    <row r="48" spans="2:9" ht="14.25" customHeight="1" x14ac:dyDescent="0.35">
      <c r="F48" s="18" t="s">
        <v>26</v>
      </c>
      <c r="I48" s="19"/>
    </row>
    <row r="49" spans="6:9" ht="14.25" customHeight="1" x14ac:dyDescent="0.35">
      <c r="F49" s="19"/>
    </row>
    <row r="50" spans="6:9" ht="14.25" customHeight="1" x14ac:dyDescent="0.35">
      <c r="F50" s="34" t="s">
        <v>106</v>
      </c>
    </row>
    <row r="51" spans="6:9" ht="14.25" customHeight="1" x14ac:dyDescent="0.35">
      <c r="F51" s="19"/>
    </row>
    <row r="52" spans="6:9" ht="14.25" customHeight="1" x14ac:dyDescent="0.35">
      <c r="F52" s="34" t="s">
        <v>107</v>
      </c>
      <c r="I52" s="17"/>
    </row>
    <row r="53" spans="6:9" ht="14.25" customHeight="1" x14ac:dyDescent="0.35"/>
    <row r="54" spans="6:9" ht="14.25" customHeight="1" x14ac:dyDescent="0.35">
      <c r="F54" s="18" t="s">
        <v>108</v>
      </c>
    </row>
    <row r="55" spans="6:9" ht="14.25" customHeight="1" x14ac:dyDescent="0.35">
      <c r="F55" s="19"/>
      <c r="I55" s="19"/>
    </row>
    <row r="56" spans="6:9" ht="14.25" customHeight="1" x14ac:dyDescent="0.35">
      <c r="F56" s="19" t="s">
        <v>109</v>
      </c>
      <c r="I56" s="19"/>
    </row>
    <row r="57" spans="6:9" ht="14.25" customHeight="1" x14ac:dyDescent="0.35"/>
    <row r="58" spans="6:9" ht="14.25" customHeight="1" x14ac:dyDescent="0.35"/>
    <row r="59" spans="6:9" ht="14.25" customHeight="1" x14ac:dyDescent="0.35">
      <c r="I59" s="19"/>
    </row>
    <row r="60" spans="6:9" ht="14.25" customHeight="1" x14ac:dyDescent="0.35">
      <c r="F60" s="17" t="s">
        <v>110</v>
      </c>
      <c r="I60" s="19"/>
    </row>
    <row r="61" spans="6:9" ht="14.25" customHeight="1" x14ac:dyDescent="0.35"/>
    <row r="62" spans="6:9" ht="14.25" customHeight="1" x14ac:dyDescent="0.35">
      <c r="F62" s="24" t="s">
        <v>111</v>
      </c>
    </row>
    <row r="63" spans="6:9" ht="14.25" customHeight="1" x14ac:dyDescent="0.35">
      <c r="F63" s="19"/>
    </row>
    <row r="64" spans="6:9" ht="14.25" customHeight="1" x14ac:dyDescent="0.35">
      <c r="F64" s="19" t="s">
        <v>112</v>
      </c>
    </row>
    <row r="65" spans="2:6" ht="14.25" customHeight="1" x14ac:dyDescent="0.35"/>
    <row r="66" spans="2:6" ht="14.25" customHeight="1" x14ac:dyDescent="0.35">
      <c r="F66" s="18" t="s">
        <v>113</v>
      </c>
    </row>
    <row r="67" spans="2:6" ht="14.25" customHeight="1" x14ac:dyDescent="0.35">
      <c r="F67" s="19"/>
    </row>
    <row r="68" spans="2:6" ht="14.25" customHeight="1" x14ac:dyDescent="0.35">
      <c r="F68" s="19" t="s">
        <v>114</v>
      </c>
    </row>
    <row r="69" spans="2:6" ht="14.25" customHeight="1" x14ac:dyDescent="0.35">
      <c r="F69" s="19"/>
    </row>
    <row r="70" spans="2:6" ht="14.25" customHeight="1" x14ac:dyDescent="0.35">
      <c r="F70" s="19" t="s">
        <v>115</v>
      </c>
    </row>
    <row r="71" spans="2:6" ht="14.25" customHeight="1" x14ac:dyDescent="0.35">
      <c r="F71" s="19"/>
    </row>
    <row r="72" spans="2:6" ht="14.25" customHeight="1" x14ac:dyDescent="0.35">
      <c r="F72" s="19" t="s">
        <v>116</v>
      </c>
    </row>
    <row r="73" spans="2:6" ht="14.25" customHeight="1" x14ac:dyDescent="0.35"/>
    <row r="74" spans="2:6" ht="14.25" customHeight="1" x14ac:dyDescent="0.35"/>
    <row r="75" spans="2:6" ht="14.25" customHeight="1" x14ac:dyDescent="0.35"/>
    <row r="76" spans="2:6" ht="14.25" customHeight="1" x14ac:dyDescent="0.35"/>
    <row r="77" spans="2:6" ht="14.25" customHeight="1" x14ac:dyDescent="0.45">
      <c r="B77" s="22" t="s">
        <v>44</v>
      </c>
    </row>
    <row r="78" spans="2:6" ht="14.25" customHeight="1" x14ac:dyDescent="0.35"/>
    <row r="79" spans="2:6" ht="14.25" customHeight="1" x14ac:dyDescent="0.35"/>
    <row r="80" spans="2:6" ht="14.25" customHeight="1" x14ac:dyDescent="0.35"/>
    <row r="81" spans="2:9" ht="14.25" customHeight="1" x14ac:dyDescent="0.35">
      <c r="B81" s="18" t="s">
        <v>45</v>
      </c>
      <c r="C81" s="18" t="s">
        <v>46</v>
      </c>
      <c r="D81" s="18" t="s">
        <v>47</v>
      </c>
      <c r="E81" s="18" t="s">
        <v>48</v>
      </c>
      <c r="F81" s="18" t="s">
        <v>84</v>
      </c>
      <c r="G81" s="21" t="s">
        <v>85</v>
      </c>
      <c r="H81" s="21" t="s">
        <v>61</v>
      </c>
      <c r="I81" s="21" t="s">
        <v>86</v>
      </c>
    </row>
    <row r="82" spans="2:9" ht="14.25" customHeight="1" x14ac:dyDescent="0.35">
      <c r="B82" s="18">
        <v>615.85</v>
      </c>
      <c r="C82" s="18">
        <v>27.09</v>
      </c>
      <c r="D82" s="18">
        <v>13.84</v>
      </c>
      <c r="E82" s="18">
        <f t="shared" ref="E82:E101" si="3">19.1765 + 0.04017*B82 - 1.17406*C82</f>
        <v>12.109909099999996</v>
      </c>
      <c r="F82" s="18">
        <f t="shared" ref="F82:F101" si="4">ABS(D82-E82)</f>
        <v>1.730090900000004</v>
      </c>
      <c r="G82" s="18">
        <f t="shared" ref="G82:G101" si="5">F82^2</f>
        <v>2.9932145222628237</v>
      </c>
      <c r="H82" s="18">
        <f>AVERAGE(G82:G101)</f>
        <v>1.6414760797959762</v>
      </c>
      <c r="I82" s="18">
        <f>SQRT(H82)</f>
        <v>1.2812010302040724</v>
      </c>
    </row>
    <row r="83" spans="2:9" ht="14.25" customHeight="1" x14ac:dyDescent="0.35">
      <c r="B83" s="18">
        <v>790.43</v>
      </c>
      <c r="C83" s="18">
        <v>23.39</v>
      </c>
      <c r="D83" s="18">
        <v>23.03</v>
      </c>
      <c r="E83" s="18">
        <f t="shared" si="3"/>
        <v>23.466809699999988</v>
      </c>
      <c r="F83" s="18">
        <f t="shared" si="4"/>
        <v>0.43680969999998709</v>
      </c>
      <c r="G83" s="18">
        <f t="shared" si="5"/>
        <v>0.19080271401407872</v>
      </c>
    </row>
    <row r="84" spans="2:9" ht="14.25" customHeight="1" x14ac:dyDescent="0.35">
      <c r="B84" s="18">
        <v>813.68</v>
      </c>
      <c r="C84" s="18">
        <v>30.53</v>
      </c>
      <c r="D84" s="18">
        <v>15.12</v>
      </c>
      <c r="E84" s="18">
        <f t="shared" si="3"/>
        <v>16.017973799999993</v>
      </c>
      <c r="F84" s="18">
        <f t="shared" si="4"/>
        <v>0.89797379999999372</v>
      </c>
      <c r="G84" s="18">
        <f t="shared" si="5"/>
        <v>0.80635694548642867</v>
      </c>
    </row>
    <row r="85" spans="2:9" ht="14.25" customHeight="1" x14ac:dyDescent="0.35">
      <c r="B85" s="18">
        <v>1042.43</v>
      </c>
      <c r="C85" s="18">
        <v>20.72</v>
      </c>
      <c r="D85" s="18">
        <v>37.26</v>
      </c>
      <c r="E85" s="18">
        <f t="shared" si="3"/>
        <v>36.724389900000006</v>
      </c>
      <c r="F85" s="18">
        <f t="shared" si="4"/>
        <v>0.53561009999999243</v>
      </c>
      <c r="G85" s="18">
        <f t="shared" si="5"/>
        <v>0.28687817922200187</v>
      </c>
    </row>
    <row r="86" spans="2:9" ht="14.25" customHeight="1" x14ac:dyDescent="0.35">
      <c r="B86" s="18">
        <v>1057.47</v>
      </c>
      <c r="C86" s="18">
        <v>21.27</v>
      </c>
      <c r="D86" s="18">
        <v>36.57</v>
      </c>
      <c r="E86" s="18">
        <f t="shared" si="3"/>
        <v>36.682813699999997</v>
      </c>
      <c r="F86" s="18">
        <f t="shared" si="4"/>
        <v>0.11281369999999669</v>
      </c>
      <c r="G86" s="18">
        <f t="shared" si="5"/>
        <v>1.2726930907689253E-2</v>
      </c>
    </row>
    <row r="87" spans="2:9" ht="14.25" customHeight="1" x14ac:dyDescent="0.35">
      <c r="B87" s="18">
        <v>865.67</v>
      </c>
      <c r="C87" s="18">
        <v>24.03</v>
      </c>
      <c r="D87" s="18">
        <v>22.95</v>
      </c>
      <c r="E87" s="18">
        <f t="shared" si="3"/>
        <v>25.7378021</v>
      </c>
      <c r="F87" s="18">
        <f t="shared" si="4"/>
        <v>2.7878021000000004</v>
      </c>
      <c r="G87" s="18">
        <f t="shared" si="5"/>
        <v>7.7718405487644118</v>
      </c>
    </row>
    <row r="88" spans="2:9" ht="14.25" customHeight="1" x14ac:dyDescent="0.35">
      <c r="B88" s="18">
        <v>822.44</v>
      </c>
      <c r="C88" s="18">
        <v>24.43</v>
      </c>
      <c r="D88" s="18">
        <v>25.49</v>
      </c>
      <c r="E88" s="18">
        <f t="shared" si="3"/>
        <v>23.531628999999995</v>
      </c>
      <c r="F88" s="18">
        <f t="shared" si="4"/>
        <v>1.9583710000000032</v>
      </c>
      <c r="G88" s="18">
        <f t="shared" si="5"/>
        <v>3.8352169736410127</v>
      </c>
    </row>
    <row r="89" spans="2:9" ht="14.25" customHeight="1" x14ac:dyDescent="0.35">
      <c r="B89" s="18">
        <v>1044.75</v>
      </c>
      <c r="C89" s="18">
        <v>21.51</v>
      </c>
      <c r="D89" s="18">
        <v>36.01</v>
      </c>
      <c r="E89" s="18">
        <f t="shared" si="3"/>
        <v>35.890076899999997</v>
      </c>
      <c r="F89" s="18">
        <f t="shared" si="4"/>
        <v>0.11992310000000117</v>
      </c>
      <c r="G89" s="18">
        <f t="shared" si="5"/>
        <v>1.438154991361028E-2</v>
      </c>
    </row>
    <row r="90" spans="2:9" ht="14.25" customHeight="1" x14ac:dyDescent="0.35">
      <c r="B90" s="18">
        <v>1121.0999999999999</v>
      </c>
      <c r="C90" s="18">
        <v>33.619999999999997</v>
      </c>
      <c r="D90" s="18">
        <v>25.61</v>
      </c>
      <c r="E90" s="18">
        <f t="shared" si="3"/>
        <v>24.739189799999991</v>
      </c>
      <c r="F90" s="18">
        <f t="shared" si="4"/>
        <v>0.87081020000000819</v>
      </c>
      <c r="G90" s="18">
        <f t="shared" si="5"/>
        <v>0.75831040442405429</v>
      </c>
    </row>
    <row r="91" spans="2:9" ht="14.25" customHeight="1" x14ac:dyDescent="0.35">
      <c r="B91" s="18">
        <v>972.44</v>
      </c>
      <c r="C91" s="18">
        <v>32.08</v>
      </c>
      <c r="D91" s="18">
        <v>18.649999999999999</v>
      </c>
      <c r="E91" s="18">
        <f t="shared" si="3"/>
        <v>20.575570000000006</v>
      </c>
      <c r="F91" s="18">
        <f t="shared" si="4"/>
        <v>1.9255700000000076</v>
      </c>
      <c r="G91" s="18">
        <f t="shared" si="5"/>
        <v>3.7078198249000289</v>
      </c>
    </row>
    <row r="92" spans="2:9" ht="14.25" customHeight="1" x14ac:dyDescent="0.35">
      <c r="B92" s="18">
        <v>1060.3399999999999</v>
      </c>
      <c r="C92" s="18">
        <v>19.82</v>
      </c>
      <c r="D92" s="18">
        <v>40.57</v>
      </c>
      <c r="E92" s="18">
        <f t="shared" si="3"/>
        <v>38.500488599999997</v>
      </c>
      <c r="F92" s="18">
        <f t="shared" si="4"/>
        <v>2.0695114000000032</v>
      </c>
      <c r="G92" s="18">
        <f t="shared" si="5"/>
        <v>4.282877434729973</v>
      </c>
    </row>
    <row r="93" spans="2:9" ht="14.25" customHeight="1" x14ac:dyDescent="0.35">
      <c r="B93" s="18">
        <v>1157.3800000000001</v>
      </c>
      <c r="C93" s="18">
        <v>24.28</v>
      </c>
      <c r="D93" s="18">
        <v>36.28</v>
      </c>
      <c r="E93" s="18">
        <f t="shared" si="3"/>
        <v>37.162277799999998</v>
      </c>
      <c r="F93" s="18">
        <f t="shared" si="4"/>
        <v>0.88227779999999711</v>
      </c>
      <c r="G93" s="18">
        <f t="shared" si="5"/>
        <v>0.77841411637283486</v>
      </c>
    </row>
    <row r="94" spans="2:9" ht="14.25" customHeight="1" x14ac:dyDescent="0.35">
      <c r="B94" s="18">
        <v>528.46</v>
      </c>
      <c r="C94" s="18">
        <v>21.96</v>
      </c>
      <c r="D94" s="18">
        <v>14.63</v>
      </c>
      <c r="E94" s="18">
        <f t="shared" si="3"/>
        <v>14.622380599999993</v>
      </c>
      <c r="F94" s="18">
        <f t="shared" si="4"/>
        <v>7.6194000000082696E-3</v>
      </c>
      <c r="G94" s="18">
        <f t="shared" si="5"/>
        <v>5.8055256360126018E-5</v>
      </c>
    </row>
    <row r="95" spans="2:9" ht="14.25" customHeight="1" x14ac:dyDescent="0.35">
      <c r="B95" s="18">
        <v>1112.97</v>
      </c>
      <c r="C95" s="18">
        <v>25.67</v>
      </c>
      <c r="D95" s="18">
        <v>31.61</v>
      </c>
      <c r="E95" s="18">
        <f t="shared" si="3"/>
        <v>33.746384699999993</v>
      </c>
      <c r="F95" s="18">
        <f t="shared" si="4"/>
        <v>2.1363846999999936</v>
      </c>
      <c r="G95" s="18">
        <f t="shared" si="5"/>
        <v>4.564139586394063</v>
      </c>
    </row>
    <row r="96" spans="2:9" ht="14.25" customHeight="1" x14ac:dyDescent="0.35">
      <c r="B96" s="18">
        <v>693.59</v>
      </c>
      <c r="C96" s="18">
        <v>22.7</v>
      </c>
      <c r="D96" s="18">
        <v>20.260000000000002</v>
      </c>
      <c r="E96" s="18">
        <f t="shared" si="3"/>
        <v>20.386848299999993</v>
      </c>
      <c r="F96" s="18">
        <f t="shared" si="4"/>
        <v>0.12684829999999181</v>
      </c>
      <c r="G96" s="18">
        <f t="shared" si="5"/>
        <v>1.6090491212887921E-2</v>
      </c>
    </row>
    <row r="97" spans="2:10" ht="14.25" customHeight="1" x14ac:dyDescent="0.35">
      <c r="B97" s="18">
        <v>833.04</v>
      </c>
      <c r="C97" s="18">
        <v>26.53</v>
      </c>
      <c r="D97" s="18">
        <v>21.14</v>
      </c>
      <c r="E97" s="18">
        <f t="shared" si="3"/>
        <v>21.491904999999999</v>
      </c>
      <c r="F97" s="18">
        <f t="shared" si="4"/>
        <v>0.35190499999999858</v>
      </c>
      <c r="G97" s="18">
        <f t="shared" si="5"/>
        <v>0.12383712902499901</v>
      </c>
    </row>
    <row r="98" spans="2:10" ht="14.25" customHeight="1" x14ac:dyDescent="0.35">
      <c r="B98" s="18">
        <v>1057.73</v>
      </c>
      <c r="C98" s="18">
        <v>33.68</v>
      </c>
      <c r="D98" s="18">
        <v>21.61</v>
      </c>
      <c r="E98" s="18">
        <f t="shared" si="3"/>
        <v>22.123173299999991</v>
      </c>
      <c r="F98" s="18">
        <f t="shared" si="4"/>
        <v>0.51317329999999117</v>
      </c>
      <c r="G98" s="18">
        <f t="shared" si="5"/>
        <v>0.26334683583288093</v>
      </c>
    </row>
    <row r="99" spans="2:10" ht="14.25" customHeight="1" x14ac:dyDescent="0.35">
      <c r="B99" s="18">
        <v>1002.07</v>
      </c>
      <c r="C99" s="18">
        <v>24.5</v>
      </c>
      <c r="D99" s="18">
        <v>31.34</v>
      </c>
      <c r="E99" s="18">
        <f t="shared" si="3"/>
        <v>30.665181899999993</v>
      </c>
      <c r="F99" s="18">
        <f t="shared" si="4"/>
        <v>0.67481810000000664</v>
      </c>
      <c r="G99" s="18">
        <f t="shared" si="5"/>
        <v>0.45537946808761898</v>
      </c>
    </row>
    <row r="100" spans="2:10" ht="14.25" customHeight="1" x14ac:dyDescent="0.35">
      <c r="B100" s="18">
        <v>603</v>
      </c>
      <c r="C100" s="18">
        <v>29.05</v>
      </c>
      <c r="D100" s="18">
        <v>9.35</v>
      </c>
      <c r="E100" s="18">
        <f t="shared" si="3"/>
        <v>9.2925669999999982</v>
      </c>
      <c r="F100" s="18">
        <f t="shared" si="4"/>
        <v>5.74330000000014E-2</v>
      </c>
      <c r="G100" s="18">
        <f t="shared" si="5"/>
        <v>3.2985494890001607E-3</v>
      </c>
    </row>
    <row r="101" spans="2:10" ht="14.25" customHeight="1" x14ac:dyDescent="0.35">
      <c r="B101" s="18">
        <v>961.12</v>
      </c>
      <c r="C101" s="18">
        <v>28.13</v>
      </c>
      <c r="D101" s="18">
        <v>26.16</v>
      </c>
      <c r="E101" s="18">
        <f t="shared" si="3"/>
        <v>24.758382599999997</v>
      </c>
      <c r="F101" s="18">
        <f t="shared" si="4"/>
        <v>1.4016174000000028</v>
      </c>
      <c r="G101" s="18">
        <f t="shared" si="5"/>
        <v>1.9645313359827679</v>
      </c>
    </row>
    <row r="102" spans="2:10" ht="14.25" customHeight="1" x14ac:dyDescent="0.35"/>
    <row r="103" spans="2:10" ht="14.25" customHeight="1" x14ac:dyDescent="0.35"/>
    <row r="104" spans="2:10" ht="14.25" customHeight="1" x14ac:dyDescent="0.35"/>
    <row r="105" spans="2:10" ht="14.25" customHeight="1" x14ac:dyDescent="0.35"/>
    <row r="106" spans="2:10" ht="14.25" customHeight="1" x14ac:dyDescent="0.35">
      <c r="B106" s="21" t="s">
        <v>50</v>
      </c>
    </row>
    <row r="107" spans="2:10" ht="14.25" customHeight="1" x14ac:dyDescent="0.35"/>
    <row r="108" spans="2:10" ht="14.25" customHeight="1" x14ac:dyDescent="0.35">
      <c r="B108" s="35"/>
      <c r="C108" s="35" t="s">
        <v>49</v>
      </c>
      <c r="D108" s="35"/>
      <c r="E108" s="35"/>
      <c r="F108" s="35"/>
      <c r="G108" s="35"/>
      <c r="H108" s="35"/>
      <c r="I108" s="35"/>
    </row>
    <row r="109" spans="2:10" ht="14.25" customHeight="1" x14ac:dyDescent="0.35">
      <c r="B109" s="35"/>
      <c r="C109" s="35"/>
      <c r="D109" s="35"/>
      <c r="E109" s="35"/>
      <c r="F109" s="35"/>
      <c r="G109" s="35"/>
      <c r="H109" s="35"/>
      <c r="I109" s="35"/>
    </row>
    <row r="110" spans="2:10" ht="14.25" customHeight="1" x14ac:dyDescent="0.35">
      <c r="B110" s="35"/>
      <c r="C110" s="21" t="s">
        <v>51</v>
      </c>
      <c r="D110" s="21" t="s">
        <v>52</v>
      </c>
      <c r="E110" s="21" t="s">
        <v>53</v>
      </c>
      <c r="F110" s="21" t="s">
        <v>54</v>
      </c>
      <c r="G110" s="21" t="s">
        <v>55</v>
      </c>
      <c r="H110" s="21" t="s">
        <v>85</v>
      </c>
      <c r="I110" s="21" t="s">
        <v>61</v>
      </c>
      <c r="J110" s="21" t="s">
        <v>86</v>
      </c>
    </row>
    <row r="111" spans="2:10" ht="14.25" customHeight="1" x14ac:dyDescent="0.35">
      <c r="B111" s="35"/>
      <c r="C111" s="35">
        <v>1089.03</v>
      </c>
      <c r="D111" s="35">
        <v>22.71</v>
      </c>
      <c r="E111" s="35">
        <v>37.33</v>
      </c>
      <c r="F111" s="35">
        <f t="shared" ref="F111:F140" si="6">18.8663+0.04028*C111-1.16849*D111</f>
        <v>36.196020500000003</v>
      </c>
      <c r="G111" s="35">
        <f t="shared" ref="G111:G140" si="7">ABS(E111-F111)</f>
        <v>1.1339794999999953</v>
      </c>
      <c r="H111" s="35">
        <f t="shared" ref="H111:H140" si="8">G111^2</f>
        <v>1.2859095064202393</v>
      </c>
      <c r="I111" s="35">
        <f>AVERAGE(H111:H140)</f>
        <v>1.4786157100843753</v>
      </c>
      <c r="J111" s="18">
        <f>SQRT(I111)</f>
        <v>1.2159834333100001</v>
      </c>
    </row>
    <row r="112" spans="2:10" ht="14.25" customHeight="1" x14ac:dyDescent="0.35">
      <c r="B112" s="35"/>
      <c r="C112" s="35">
        <v>591.78</v>
      </c>
      <c r="D112" s="35">
        <v>20.05</v>
      </c>
      <c r="E112" s="35">
        <v>18.5</v>
      </c>
      <c r="F112" s="35">
        <f t="shared" si="6"/>
        <v>19.274973900000003</v>
      </c>
      <c r="G112" s="35">
        <f t="shared" si="7"/>
        <v>0.77497390000000266</v>
      </c>
      <c r="H112" s="35">
        <f t="shared" si="8"/>
        <v>0.60058454568121411</v>
      </c>
      <c r="I112" s="35"/>
    </row>
    <row r="113" spans="2:9" ht="14.25" customHeight="1" x14ac:dyDescent="0.35">
      <c r="B113" s="35"/>
      <c r="C113" s="35">
        <v>716.11</v>
      </c>
      <c r="D113" s="35">
        <v>33.479999999999997</v>
      </c>
      <c r="E113" s="35">
        <v>8.39</v>
      </c>
      <c r="F113" s="35">
        <f t="shared" si="6"/>
        <v>8.590165600000006</v>
      </c>
      <c r="G113" s="35">
        <f t="shared" si="7"/>
        <v>0.20016560000000538</v>
      </c>
      <c r="H113" s="35">
        <f t="shared" si="8"/>
        <v>4.0066267423362154E-2</v>
      </c>
      <c r="I113" s="35"/>
    </row>
    <row r="114" spans="2:9" ht="14.25" customHeight="1" x14ac:dyDescent="0.35">
      <c r="B114" s="35"/>
      <c r="C114" s="35">
        <v>824.1</v>
      </c>
      <c r="D114" s="35">
        <v>18.52</v>
      </c>
      <c r="E114" s="35">
        <v>31.82</v>
      </c>
      <c r="F114" s="35">
        <f t="shared" si="6"/>
        <v>30.420613199999998</v>
      </c>
      <c r="G114" s="35">
        <f t="shared" si="7"/>
        <v>1.399386800000002</v>
      </c>
      <c r="H114" s="35">
        <f t="shared" si="8"/>
        <v>1.9582834160142457</v>
      </c>
      <c r="I114" s="35"/>
    </row>
    <row r="115" spans="2:9" ht="14.25" customHeight="1" x14ac:dyDescent="0.35">
      <c r="B115" s="35"/>
      <c r="C115" s="35">
        <v>1019.29</v>
      </c>
      <c r="D115" s="35">
        <v>29.43</v>
      </c>
      <c r="E115" s="35">
        <v>25.26</v>
      </c>
      <c r="F115" s="35">
        <f t="shared" si="6"/>
        <v>25.534640499999995</v>
      </c>
      <c r="G115" s="35">
        <f t="shared" si="7"/>
        <v>0.27464049999999318</v>
      </c>
      <c r="H115" s="35">
        <f t="shared" si="8"/>
        <v>7.5427404240246257E-2</v>
      </c>
      <c r="I115" s="35"/>
    </row>
    <row r="116" spans="2:9" ht="14.25" customHeight="1" x14ac:dyDescent="0.35">
      <c r="B116" s="35"/>
      <c r="C116" s="35">
        <v>840.08</v>
      </c>
      <c r="D116" s="35">
        <v>19.21</v>
      </c>
      <c r="E116" s="35">
        <v>29.77</v>
      </c>
      <c r="F116" s="35">
        <f t="shared" si="6"/>
        <v>30.258029500000006</v>
      </c>
      <c r="G116" s="35">
        <f t="shared" si="7"/>
        <v>0.48802950000000678</v>
      </c>
      <c r="H116" s="35">
        <f t="shared" si="8"/>
        <v>0.23817279287025661</v>
      </c>
      <c r="I116" s="35"/>
    </row>
    <row r="117" spans="2:9" ht="14.25" customHeight="1" x14ac:dyDescent="0.35">
      <c r="B117" s="35"/>
      <c r="C117" s="35">
        <v>595.80999999999995</v>
      </c>
      <c r="D117" s="35">
        <v>24.13</v>
      </c>
      <c r="E117" s="35">
        <v>16.329999999999998</v>
      </c>
      <c r="F117" s="35">
        <f t="shared" si="6"/>
        <v>14.669863099999997</v>
      </c>
      <c r="G117" s="35">
        <f t="shared" si="7"/>
        <v>1.6601369000000012</v>
      </c>
      <c r="H117" s="35">
        <f t="shared" si="8"/>
        <v>2.7560545267416141</v>
      </c>
      <c r="I117" s="35"/>
    </row>
    <row r="118" spans="2:9" ht="14.25" customHeight="1" x14ac:dyDescent="0.35">
      <c r="B118" s="35"/>
      <c r="C118" s="35">
        <v>740.48</v>
      </c>
      <c r="D118" s="35">
        <v>25.11</v>
      </c>
      <c r="E118" s="35">
        <v>19.64</v>
      </c>
      <c r="F118" s="35">
        <f t="shared" si="6"/>
        <v>19.352050500000001</v>
      </c>
      <c r="G118" s="35">
        <f t="shared" si="7"/>
        <v>0.28794949999999986</v>
      </c>
      <c r="H118" s="35">
        <f t="shared" si="8"/>
        <v>8.2914914550249921E-2</v>
      </c>
      <c r="I118" s="35"/>
    </row>
    <row r="119" spans="2:9" ht="14.25" customHeight="1" x14ac:dyDescent="0.35">
      <c r="B119" s="35"/>
      <c r="C119" s="35">
        <v>727.1</v>
      </c>
      <c r="D119" s="35">
        <v>21.08</v>
      </c>
      <c r="E119" s="35">
        <v>24.38</v>
      </c>
      <c r="F119" s="35">
        <f t="shared" si="6"/>
        <v>23.522118800000005</v>
      </c>
      <c r="G119" s="35">
        <f t="shared" si="7"/>
        <v>0.85788119999999424</v>
      </c>
      <c r="H119" s="35">
        <f t="shared" si="8"/>
        <v>0.73596015331343012</v>
      </c>
      <c r="I119" s="35"/>
    </row>
    <row r="120" spans="2:9" ht="14.25" customHeight="1" x14ac:dyDescent="0.35">
      <c r="B120" s="35"/>
      <c r="C120" s="35">
        <v>710.29</v>
      </c>
      <c r="D120" s="35">
        <v>26.86</v>
      </c>
      <c r="E120" s="35">
        <v>17.940000000000001</v>
      </c>
      <c r="F120" s="35">
        <f t="shared" si="6"/>
        <v>16.091139800000004</v>
      </c>
      <c r="G120" s="35">
        <f t="shared" si="7"/>
        <v>1.8488601999999972</v>
      </c>
      <c r="H120" s="35">
        <f t="shared" si="8"/>
        <v>3.4182840391440297</v>
      </c>
      <c r="I120" s="35"/>
    </row>
    <row r="121" spans="2:9" ht="14.25" customHeight="1" x14ac:dyDescent="0.35">
      <c r="B121" s="35"/>
      <c r="C121" s="35">
        <v>615.85</v>
      </c>
      <c r="D121" s="35">
        <v>27.09</v>
      </c>
      <c r="E121" s="35">
        <v>13.84</v>
      </c>
      <c r="F121" s="35">
        <f t="shared" si="6"/>
        <v>12.018343900000001</v>
      </c>
      <c r="G121" s="35">
        <f t="shared" si="7"/>
        <v>1.8216560999999984</v>
      </c>
      <c r="H121" s="35">
        <f t="shared" si="8"/>
        <v>3.3184309466672044</v>
      </c>
      <c r="I121" s="35"/>
    </row>
    <row r="122" spans="2:9" ht="14.25" customHeight="1" x14ac:dyDescent="0.35">
      <c r="B122" s="35"/>
      <c r="C122" s="35">
        <v>790.43</v>
      </c>
      <c r="D122" s="35">
        <v>23.39</v>
      </c>
      <c r="E122" s="35">
        <v>23.03</v>
      </c>
      <c r="F122" s="35">
        <f t="shared" si="6"/>
        <v>23.3738393</v>
      </c>
      <c r="G122" s="35">
        <f t="shared" si="7"/>
        <v>0.34383929999999907</v>
      </c>
      <c r="H122" s="35">
        <f t="shared" si="8"/>
        <v>0.11822546422448936</v>
      </c>
      <c r="I122" s="35"/>
    </row>
    <row r="123" spans="2:9" ht="14.25" customHeight="1" x14ac:dyDescent="0.35">
      <c r="B123" s="35"/>
      <c r="C123" s="35">
        <v>813.68</v>
      </c>
      <c r="D123" s="35">
        <v>30.53</v>
      </c>
      <c r="E123" s="35">
        <v>15.12</v>
      </c>
      <c r="F123" s="35">
        <f t="shared" si="6"/>
        <v>15.967330699999998</v>
      </c>
      <c r="G123" s="35">
        <f t="shared" si="7"/>
        <v>0.84733069999999877</v>
      </c>
      <c r="H123" s="35">
        <f t="shared" si="8"/>
        <v>0.71796931516248796</v>
      </c>
      <c r="I123" s="35"/>
    </row>
    <row r="124" spans="2:9" ht="14.25" customHeight="1" x14ac:dyDescent="0.35">
      <c r="B124" s="35"/>
      <c r="C124" s="35">
        <v>1042.43</v>
      </c>
      <c r="D124" s="35">
        <v>20.72</v>
      </c>
      <c r="E124" s="35">
        <v>37.26</v>
      </c>
      <c r="F124" s="35">
        <f t="shared" si="6"/>
        <v>36.644267600000006</v>
      </c>
      <c r="G124" s="35">
        <f t="shared" si="7"/>
        <v>0.61573239999999174</v>
      </c>
      <c r="H124" s="35">
        <f t="shared" si="8"/>
        <v>0.37912638840974983</v>
      </c>
      <c r="I124" s="35"/>
    </row>
    <row r="125" spans="2:9" ht="14.25" customHeight="1" x14ac:dyDescent="0.35">
      <c r="B125" s="35"/>
      <c r="C125" s="35">
        <v>1057.47</v>
      </c>
      <c r="D125" s="35">
        <v>21.27</v>
      </c>
      <c r="E125" s="35">
        <v>36.57</v>
      </c>
      <c r="F125" s="35">
        <f t="shared" si="6"/>
        <v>36.607409300000008</v>
      </c>
      <c r="G125" s="35">
        <f t="shared" si="7"/>
        <v>3.7409300000007306E-2</v>
      </c>
      <c r="H125" s="35">
        <f t="shared" si="8"/>
        <v>1.3994557264905467E-3</v>
      </c>
      <c r="I125" s="35"/>
    </row>
    <row r="126" spans="2:9" ht="14.25" customHeight="1" x14ac:dyDescent="0.35">
      <c r="B126" s="35"/>
      <c r="C126" s="35">
        <v>865.67</v>
      </c>
      <c r="D126" s="35">
        <v>24.03</v>
      </c>
      <c r="E126" s="35">
        <v>22.95</v>
      </c>
      <c r="F126" s="35">
        <f t="shared" si="6"/>
        <v>25.656672899999997</v>
      </c>
      <c r="G126" s="35">
        <f t="shared" si="7"/>
        <v>2.7066728999999974</v>
      </c>
      <c r="H126" s="35">
        <f t="shared" si="8"/>
        <v>7.3260781875943959</v>
      </c>
      <c r="I126" s="35"/>
    </row>
    <row r="127" spans="2:9" ht="14.25" customHeight="1" x14ac:dyDescent="0.35">
      <c r="B127" s="35"/>
      <c r="C127" s="35">
        <v>822.44</v>
      </c>
      <c r="D127" s="35">
        <v>24.43</v>
      </c>
      <c r="E127" s="35">
        <v>25.49</v>
      </c>
      <c r="F127" s="35">
        <f t="shared" si="6"/>
        <v>23.447972500000009</v>
      </c>
      <c r="G127" s="35">
        <f t="shared" si="7"/>
        <v>2.042027499999989</v>
      </c>
      <c r="H127" s="35">
        <f t="shared" si="8"/>
        <v>4.1698763107562051</v>
      </c>
      <c r="I127" s="35"/>
    </row>
    <row r="128" spans="2:9" ht="14.25" customHeight="1" x14ac:dyDescent="0.35">
      <c r="B128" s="35"/>
      <c r="C128" s="35">
        <v>1044.75</v>
      </c>
      <c r="D128" s="35">
        <v>21.51</v>
      </c>
      <c r="E128" s="35">
        <v>36.01</v>
      </c>
      <c r="F128" s="35">
        <f t="shared" si="6"/>
        <v>35.814610099999996</v>
      </c>
      <c r="G128" s="35">
        <f t="shared" si="7"/>
        <v>0.19538990000000211</v>
      </c>
      <c r="H128" s="35">
        <f t="shared" si="8"/>
        <v>3.8177213022010825E-2</v>
      </c>
      <c r="I128" s="35"/>
    </row>
    <row r="129" spans="2:9" ht="14.25" customHeight="1" x14ac:dyDescent="0.35">
      <c r="B129" s="35"/>
      <c r="C129" s="35">
        <v>1121.0999999999999</v>
      </c>
      <c r="D129" s="35">
        <v>33.619999999999997</v>
      </c>
      <c r="E129" s="35">
        <v>25.61</v>
      </c>
      <c r="F129" s="35">
        <f t="shared" si="6"/>
        <v>24.739574200000007</v>
      </c>
      <c r="G129" s="35">
        <f t="shared" si="7"/>
        <v>0.87042579999999248</v>
      </c>
      <c r="H129" s="35">
        <f t="shared" si="8"/>
        <v>0.75764107330562691</v>
      </c>
      <c r="I129" s="35"/>
    </row>
    <row r="130" spans="2:9" ht="14.25" customHeight="1" x14ac:dyDescent="0.35">
      <c r="B130" s="35"/>
      <c r="C130" s="35">
        <v>972.44</v>
      </c>
      <c r="D130" s="35">
        <v>32.08</v>
      </c>
      <c r="E130" s="35">
        <v>18.649999999999999</v>
      </c>
      <c r="F130" s="35">
        <f t="shared" si="6"/>
        <v>20.551024000000012</v>
      </c>
      <c r="G130" s="35">
        <f t="shared" si="7"/>
        <v>1.9010240000000138</v>
      </c>
      <c r="H130" s="35">
        <f t="shared" si="8"/>
        <v>3.6138922485760525</v>
      </c>
      <c r="I130" s="35"/>
    </row>
    <row r="131" spans="2:9" ht="14.25" customHeight="1" x14ac:dyDescent="0.35">
      <c r="B131" s="35"/>
      <c r="C131" s="35">
        <v>1060.3399999999999</v>
      </c>
      <c r="D131" s="35">
        <v>19.82</v>
      </c>
      <c r="E131" s="35">
        <v>40.57</v>
      </c>
      <c r="F131" s="35">
        <f t="shared" si="6"/>
        <v>38.417323399999987</v>
      </c>
      <c r="G131" s="35">
        <f t="shared" si="7"/>
        <v>2.1526766000000137</v>
      </c>
      <c r="H131" s="35">
        <f t="shared" si="8"/>
        <v>4.6340165441876193</v>
      </c>
      <c r="I131" s="35"/>
    </row>
    <row r="132" spans="2:9" ht="14.25" customHeight="1" x14ac:dyDescent="0.35">
      <c r="B132" s="35"/>
      <c r="C132" s="35">
        <v>1157.3800000000001</v>
      </c>
      <c r="D132" s="35">
        <v>24.28</v>
      </c>
      <c r="E132" s="35">
        <v>36.28</v>
      </c>
      <c r="F132" s="35">
        <f t="shared" si="6"/>
        <v>37.11462920000001</v>
      </c>
      <c r="G132" s="35">
        <f t="shared" si="7"/>
        <v>0.83462920000000906</v>
      </c>
      <c r="H132" s="35">
        <f t="shared" si="8"/>
        <v>0.69660590149265511</v>
      </c>
      <c r="I132" s="35"/>
    </row>
    <row r="133" spans="2:9" ht="14.25" customHeight="1" x14ac:dyDescent="0.35">
      <c r="B133" s="35"/>
      <c r="C133" s="35">
        <v>528.46</v>
      </c>
      <c r="D133" s="35">
        <v>21.96</v>
      </c>
      <c r="E133" s="35">
        <v>14.63</v>
      </c>
      <c r="F133" s="35">
        <f t="shared" si="6"/>
        <v>14.492628399999997</v>
      </c>
      <c r="G133" s="35">
        <f t="shared" si="7"/>
        <v>0.13737160000000337</v>
      </c>
      <c r="H133" s="35">
        <f t="shared" si="8"/>
        <v>1.8870956486560925E-2</v>
      </c>
      <c r="I133" s="35"/>
    </row>
    <row r="134" spans="2:9" ht="14.25" customHeight="1" x14ac:dyDescent="0.35">
      <c r="B134" s="35"/>
      <c r="C134" s="35">
        <v>1112.97</v>
      </c>
      <c r="D134" s="35">
        <v>25.67</v>
      </c>
      <c r="E134" s="35">
        <v>31.61</v>
      </c>
      <c r="F134" s="35">
        <f t="shared" si="6"/>
        <v>33.701593299999999</v>
      </c>
      <c r="G134" s="35">
        <f t="shared" si="7"/>
        <v>2.0915932999999995</v>
      </c>
      <c r="H134" s="35">
        <f t="shared" si="8"/>
        <v>4.3747625326048878</v>
      </c>
      <c r="I134" s="35"/>
    </row>
    <row r="135" spans="2:9" ht="14.25" customHeight="1" x14ac:dyDescent="0.35">
      <c r="B135" s="35"/>
      <c r="C135" s="35">
        <v>693.59</v>
      </c>
      <c r="D135" s="35">
        <v>22.7</v>
      </c>
      <c r="E135" s="35">
        <v>20.260000000000002</v>
      </c>
      <c r="F135" s="35">
        <f t="shared" si="6"/>
        <v>20.279382200000004</v>
      </c>
      <c r="G135" s="35">
        <f t="shared" si="7"/>
        <v>1.938220000000257E-2</v>
      </c>
      <c r="H135" s="35">
        <f t="shared" si="8"/>
        <v>3.7566967684009962E-4</v>
      </c>
      <c r="I135" s="35"/>
    </row>
    <row r="136" spans="2:9" ht="14.25" customHeight="1" x14ac:dyDescent="0.35">
      <c r="B136" s="35"/>
      <c r="C136" s="35">
        <v>833.04</v>
      </c>
      <c r="D136" s="35">
        <v>26.53</v>
      </c>
      <c r="E136" s="35">
        <v>21.14</v>
      </c>
      <c r="F136" s="35">
        <f t="shared" si="6"/>
        <v>21.421111499999995</v>
      </c>
      <c r="G136" s="35">
        <f t="shared" si="7"/>
        <v>0.28111149999999441</v>
      </c>
      <c r="H136" s="35">
        <f t="shared" si="8"/>
        <v>7.9023675432246851E-2</v>
      </c>
      <c r="I136" s="35"/>
    </row>
    <row r="137" spans="2:9" ht="14.25" customHeight="1" x14ac:dyDescent="0.35">
      <c r="B137" s="35"/>
      <c r="C137" s="35">
        <v>1057.73</v>
      </c>
      <c r="D137" s="35">
        <v>33.68</v>
      </c>
      <c r="E137" s="35">
        <v>21.61</v>
      </c>
      <c r="F137" s="35">
        <f t="shared" si="6"/>
        <v>22.116921200000007</v>
      </c>
      <c r="G137" s="35">
        <f t="shared" si="7"/>
        <v>0.50692120000000784</v>
      </c>
      <c r="H137" s="35">
        <f t="shared" si="8"/>
        <v>0.25696910300944797</v>
      </c>
      <c r="I137" s="35"/>
    </row>
    <row r="138" spans="2:9" ht="14.25" customHeight="1" x14ac:dyDescent="0.35">
      <c r="B138" s="35"/>
      <c r="C138" s="35">
        <v>1002.07</v>
      </c>
      <c r="D138" s="35">
        <v>24.5</v>
      </c>
      <c r="E138" s="35">
        <v>31.34</v>
      </c>
      <c r="F138" s="35">
        <f t="shared" si="6"/>
        <v>30.601674599999996</v>
      </c>
      <c r="G138" s="35">
        <f t="shared" si="7"/>
        <v>0.73832540000000435</v>
      </c>
      <c r="H138" s="35">
        <f t="shared" si="8"/>
        <v>0.5451243962851664</v>
      </c>
      <c r="I138" s="35"/>
    </row>
    <row r="139" spans="2:9" ht="14.25" customHeight="1" x14ac:dyDescent="0.35">
      <c r="B139" s="35"/>
      <c r="C139" s="35">
        <v>603</v>
      </c>
      <c r="D139" s="35">
        <v>29.05</v>
      </c>
      <c r="E139" s="35">
        <v>9.35</v>
      </c>
      <c r="F139" s="35">
        <f t="shared" si="6"/>
        <v>9.2105055000000036</v>
      </c>
      <c r="G139" s="35">
        <f t="shared" si="7"/>
        <v>0.13949449999999608</v>
      </c>
      <c r="H139" s="35">
        <f t="shared" si="8"/>
        <v>1.9458715530248905E-2</v>
      </c>
      <c r="I139" s="35"/>
    </row>
    <row r="140" spans="2:9" ht="14.25" customHeight="1" x14ac:dyDescent="0.35">
      <c r="B140" s="35"/>
      <c r="C140" s="35">
        <v>961.12</v>
      </c>
      <c r="D140" s="35">
        <v>28.13</v>
      </c>
      <c r="E140" s="35">
        <v>26.16</v>
      </c>
      <c r="F140" s="35">
        <f t="shared" si="6"/>
        <v>24.710589900000009</v>
      </c>
      <c r="G140" s="35">
        <f t="shared" si="7"/>
        <v>1.4494100999999908</v>
      </c>
      <c r="H140" s="35">
        <f t="shared" si="8"/>
        <v>2.1007896379819835</v>
      </c>
      <c r="I140" s="35"/>
    </row>
    <row r="141" spans="2:9" ht="14.25" customHeight="1" x14ac:dyDescent="0.35"/>
    <row r="142" spans="2:9" ht="14.25" customHeight="1" x14ac:dyDescent="0.35"/>
    <row r="143" spans="2:9" ht="14.25" customHeight="1" x14ac:dyDescent="0.35"/>
    <row r="144" spans="2:9" ht="14.25" customHeight="1" x14ac:dyDescent="0.35"/>
    <row r="145" spans="3:10" ht="14.25" customHeight="1" x14ac:dyDescent="0.35"/>
    <row r="146" spans="3:10" ht="14.25" customHeight="1" x14ac:dyDescent="0.35">
      <c r="C146" s="21" t="s">
        <v>56</v>
      </c>
      <c r="D146" s="35"/>
      <c r="E146" s="35"/>
      <c r="F146" s="35"/>
      <c r="G146" s="35"/>
      <c r="H146" s="35"/>
      <c r="I146" s="35"/>
    </row>
    <row r="147" spans="3:10" ht="14.25" customHeight="1" x14ac:dyDescent="0.35">
      <c r="C147" s="21" t="s">
        <v>57</v>
      </c>
      <c r="D147" s="35"/>
      <c r="E147" s="35"/>
      <c r="F147" s="35"/>
      <c r="G147" s="35"/>
      <c r="H147" s="35"/>
      <c r="I147" s="35"/>
    </row>
    <row r="148" spans="3:10" ht="14.25" customHeight="1" x14ac:dyDescent="0.35">
      <c r="C148" s="35"/>
      <c r="D148" s="35"/>
      <c r="E148" s="35"/>
      <c r="F148" s="35"/>
      <c r="G148" s="35"/>
      <c r="H148" s="35"/>
      <c r="I148" s="35"/>
    </row>
    <row r="149" spans="3:10" ht="14.25" customHeight="1" x14ac:dyDescent="0.35">
      <c r="C149" s="21" t="s">
        <v>8</v>
      </c>
      <c r="D149" s="21" t="s">
        <v>9</v>
      </c>
      <c r="E149" s="21" t="s">
        <v>10</v>
      </c>
      <c r="F149" s="21" t="s">
        <v>54</v>
      </c>
      <c r="G149" s="21" t="s">
        <v>55</v>
      </c>
      <c r="H149" s="21" t="s">
        <v>85</v>
      </c>
      <c r="I149" s="21" t="s">
        <v>61</v>
      </c>
      <c r="J149" s="21" t="s">
        <v>86</v>
      </c>
    </row>
    <row r="150" spans="3:10" ht="14.25" customHeight="1" x14ac:dyDescent="0.35">
      <c r="C150" s="35">
        <v>1168.83</v>
      </c>
      <c r="D150" s="35">
        <v>18.18</v>
      </c>
      <c r="E150" s="35">
        <v>44.05</v>
      </c>
      <c r="F150" s="35">
        <f t="shared" ref="F150:F189" si="9">18.6947+0.04119*C150-1.19176*D150</f>
        <v>45.172610899999995</v>
      </c>
      <c r="G150" s="35">
        <f t="shared" ref="G150:G189" si="10">ABS(E150-F150)</f>
        <v>1.122610899999998</v>
      </c>
      <c r="H150" s="35">
        <f t="shared" ref="H150:H189" si="11">G150^2</f>
        <v>1.2602552327988055</v>
      </c>
      <c r="I150" s="35">
        <f>AVERAGE(H150:H189)</f>
        <v>1.5049135489424601</v>
      </c>
      <c r="J150" s="18">
        <f>SQRT(I150)</f>
        <v>1.2267491793119163</v>
      </c>
    </row>
    <row r="151" spans="3:10" ht="14.25" customHeight="1" x14ac:dyDescent="0.35">
      <c r="C151" s="35">
        <v>978.04</v>
      </c>
      <c r="D151" s="35">
        <v>32.119999999999997</v>
      </c>
      <c r="E151" s="35">
        <v>20.64</v>
      </c>
      <c r="F151" s="35">
        <f t="shared" si="9"/>
        <v>20.700836400000007</v>
      </c>
      <c r="G151" s="35">
        <f t="shared" si="10"/>
        <v>6.0836400000006563E-2</v>
      </c>
      <c r="H151" s="35">
        <f t="shared" si="11"/>
        <v>3.7010675649607984E-3</v>
      </c>
      <c r="I151" s="35"/>
    </row>
    <row r="152" spans="3:10" ht="14.25" customHeight="1" x14ac:dyDescent="0.35">
      <c r="C152" s="35">
        <v>537.19000000000005</v>
      </c>
      <c r="D152" s="35">
        <v>33.75</v>
      </c>
      <c r="E152" s="35">
        <v>0.69</v>
      </c>
      <c r="F152" s="35">
        <f t="shared" si="9"/>
        <v>0.59965610000000424</v>
      </c>
      <c r="G152" s="35">
        <f t="shared" si="10"/>
        <v>9.0343899999995703E-2</v>
      </c>
      <c r="H152" s="35">
        <f t="shared" si="11"/>
        <v>8.1620202672092242E-3</v>
      </c>
      <c r="I152" s="35"/>
    </row>
    <row r="153" spans="3:10" ht="14.25" customHeight="1" x14ac:dyDescent="0.35">
      <c r="C153" s="35">
        <v>716.2</v>
      </c>
      <c r="D153" s="35">
        <v>25.8</v>
      </c>
      <c r="E153" s="35">
        <v>18.579999999999998</v>
      </c>
      <c r="F153" s="35">
        <f t="shared" si="9"/>
        <v>17.447570000000006</v>
      </c>
      <c r="G153" s="35">
        <f t="shared" si="10"/>
        <v>1.1324299999999923</v>
      </c>
      <c r="H153" s="35">
        <f t="shared" si="11"/>
        <v>1.2823977048999826</v>
      </c>
      <c r="I153" s="35"/>
    </row>
    <row r="154" spans="3:10" ht="14.25" customHeight="1" x14ac:dyDescent="0.35">
      <c r="C154" s="35">
        <v>914.82</v>
      </c>
      <c r="D154" s="35">
        <v>31.11</v>
      </c>
      <c r="E154" s="35">
        <v>19.52</v>
      </c>
      <c r="F154" s="35">
        <f t="shared" si="9"/>
        <v>19.300482200000005</v>
      </c>
      <c r="G154" s="35">
        <f t="shared" si="10"/>
        <v>0.21951779999999488</v>
      </c>
      <c r="H154" s="35">
        <f t="shared" si="11"/>
        <v>4.8188064516837749E-2</v>
      </c>
      <c r="I154" s="35"/>
    </row>
    <row r="155" spans="3:10" ht="14.25" customHeight="1" x14ac:dyDescent="0.35">
      <c r="C155" s="35">
        <v>664.58</v>
      </c>
      <c r="D155" s="35">
        <v>32.729999999999997</v>
      </c>
      <c r="E155" s="35">
        <v>9.92</v>
      </c>
      <c r="F155" s="35">
        <f t="shared" si="9"/>
        <v>7.0624454000000014</v>
      </c>
      <c r="G155" s="35">
        <f t="shared" si="10"/>
        <v>2.8575545999999985</v>
      </c>
      <c r="H155" s="35">
        <f t="shared" si="11"/>
        <v>8.1656182919811506</v>
      </c>
      <c r="I155" s="35"/>
    </row>
    <row r="156" spans="3:10" ht="14.25" customHeight="1" x14ac:dyDescent="0.35">
      <c r="C156" s="35">
        <v>1175.48</v>
      </c>
      <c r="D156" s="35">
        <v>28.36</v>
      </c>
      <c r="E156" s="35">
        <v>32.65</v>
      </c>
      <c r="F156" s="35">
        <f t="shared" si="9"/>
        <v>33.314407599999996</v>
      </c>
      <c r="G156" s="35">
        <f t="shared" si="10"/>
        <v>0.66440759999999699</v>
      </c>
      <c r="H156" s="35">
        <f t="shared" si="11"/>
        <v>0.44143745893775599</v>
      </c>
      <c r="I156" s="35"/>
    </row>
    <row r="157" spans="3:10" ht="14.25" customHeight="1" x14ac:dyDescent="0.35">
      <c r="C157" s="35">
        <v>1161.53</v>
      </c>
      <c r="D157" s="35">
        <v>32.83</v>
      </c>
      <c r="E157" s="35">
        <v>26.72</v>
      </c>
      <c r="F157" s="35">
        <f t="shared" si="9"/>
        <v>27.412639899999995</v>
      </c>
      <c r="G157" s="35">
        <f t="shared" si="10"/>
        <v>0.69263989999999609</v>
      </c>
      <c r="H157" s="35">
        <f t="shared" si="11"/>
        <v>0.47975003107200459</v>
      </c>
      <c r="I157" s="35"/>
    </row>
    <row r="158" spans="3:10" ht="14.25" customHeight="1" x14ac:dyDescent="0.35">
      <c r="C158" s="35">
        <v>1093.8800000000001</v>
      </c>
      <c r="D158" s="35">
        <v>18.41</v>
      </c>
      <c r="E158" s="35">
        <v>40.11</v>
      </c>
      <c r="F158" s="35">
        <f t="shared" si="9"/>
        <v>41.8113156</v>
      </c>
      <c r="G158" s="35">
        <f t="shared" si="10"/>
        <v>1.7013156000000009</v>
      </c>
      <c r="H158" s="35">
        <f t="shared" si="11"/>
        <v>2.8944747708033631</v>
      </c>
      <c r="I158" s="35"/>
    </row>
    <row r="159" spans="3:10" ht="14.25" customHeight="1" x14ac:dyDescent="0.35">
      <c r="C159" s="35">
        <v>830.63</v>
      </c>
      <c r="D159" s="35">
        <v>22.62</v>
      </c>
      <c r="E159" s="35">
        <v>26.12</v>
      </c>
      <c r="F159" s="35">
        <f t="shared" si="9"/>
        <v>25.950738500000003</v>
      </c>
      <c r="G159" s="35">
        <f t="shared" si="10"/>
        <v>0.16926149999999751</v>
      </c>
      <c r="H159" s="35">
        <f t="shared" si="11"/>
        <v>2.8649455382249157E-2</v>
      </c>
      <c r="I159" s="35"/>
    </row>
    <row r="160" spans="3:10" ht="14.25" customHeight="1" x14ac:dyDescent="0.35">
      <c r="C160" s="35">
        <v>1089.03</v>
      </c>
      <c r="D160" s="35">
        <v>22.71</v>
      </c>
      <c r="E160" s="35">
        <v>37.33</v>
      </c>
      <c r="F160" s="35">
        <f t="shared" si="9"/>
        <v>36.486976100000007</v>
      </c>
      <c r="G160" s="35">
        <f t="shared" si="10"/>
        <v>0.8430238999999915</v>
      </c>
      <c r="H160" s="35">
        <f t="shared" si="11"/>
        <v>0.71068929597119568</v>
      </c>
      <c r="I160" s="35"/>
    </row>
    <row r="161" spans="3:9" ht="14.25" customHeight="1" x14ac:dyDescent="0.35">
      <c r="C161" s="35">
        <v>591.78</v>
      </c>
      <c r="D161" s="35">
        <v>20.05</v>
      </c>
      <c r="E161" s="35">
        <v>18.5</v>
      </c>
      <c r="F161" s="35">
        <f t="shared" si="9"/>
        <v>19.175330199999998</v>
      </c>
      <c r="G161" s="35">
        <f t="shared" si="10"/>
        <v>0.67533019999999766</v>
      </c>
      <c r="H161" s="35">
        <f t="shared" si="11"/>
        <v>0.45607087903203686</v>
      </c>
      <c r="I161" s="35"/>
    </row>
    <row r="162" spans="3:9" ht="14.25" customHeight="1" x14ac:dyDescent="0.35">
      <c r="C162" s="35">
        <v>716.11</v>
      </c>
      <c r="D162" s="35">
        <v>33.479999999999997</v>
      </c>
      <c r="E162" s="35">
        <v>8.39</v>
      </c>
      <c r="F162" s="35">
        <f t="shared" si="9"/>
        <v>8.291146100000006</v>
      </c>
      <c r="G162" s="35">
        <f t="shared" si="10"/>
        <v>9.885389999999461E-2</v>
      </c>
      <c r="H162" s="35">
        <f t="shared" si="11"/>
        <v>9.7720935452089343E-3</v>
      </c>
      <c r="I162" s="35"/>
    </row>
    <row r="163" spans="3:9" ht="14.25" customHeight="1" x14ac:dyDescent="0.35">
      <c r="C163" s="35">
        <v>824.1</v>
      </c>
      <c r="D163" s="35">
        <v>18.52</v>
      </c>
      <c r="E163" s="35">
        <v>31.82</v>
      </c>
      <c r="F163" s="35">
        <f t="shared" si="9"/>
        <v>30.567983800000007</v>
      </c>
      <c r="G163" s="35">
        <f t="shared" si="10"/>
        <v>1.2520161999999928</v>
      </c>
      <c r="H163" s="35">
        <f t="shared" si="11"/>
        <v>1.567544565062422</v>
      </c>
      <c r="I163" s="35"/>
    </row>
    <row r="164" spans="3:9" ht="14.25" customHeight="1" x14ac:dyDescent="0.35">
      <c r="C164" s="35">
        <v>1019.29</v>
      </c>
      <c r="D164" s="35">
        <v>29.43</v>
      </c>
      <c r="E164" s="35">
        <v>25.26</v>
      </c>
      <c r="F164" s="35">
        <f t="shared" si="9"/>
        <v>25.605758299999991</v>
      </c>
      <c r="G164" s="35">
        <f t="shared" si="10"/>
        <v>0.3457582999999893</v>
      </c>
      <c r="H164" s="35">
        <f t="shared" si="11"/>
        <v>0.1195488020188826</v>
      </c>
      <c r="I164" s="35"/>
    </row>
    <row r="165" spans="3:9" ht="14.25" customHeight="1" x14ac:dyDescent="0.35">
      <c r="C165" s="35">
        <v>840.08</v>
      </c>
      <c r="D165" s="35">
        <v>19.21</v>
      </c>
      <c r="E165" s="35">
        <v>29.77</v>
      </c>
      <c r="F165" s="35">
        <f t="shared" si="9"/>
        <v>30.403885600000002</v>
      </c>
      <c r="G165" s="35">
        <f t="shared" si="10"/>
        <v>0.63388560000000282</v>
      </c>
      <c r="H165" s="35">
        <f t="shared" si="11"/>
        <v>0.4018109538873636</v>
      </c>
      <c r="I165" s="35"/>
    </row>
    <row r="166" spans="3:9" ht="14.25" customHeight="1" x14ac:dyDescent="0.35">
      <c r="C166" s="35">
        <v>595.80999999999995</v>
      </c>
      <c r="D166" s="35">
        <v>24.13</v>
      </c>
      <c r="E166" s="35">
        <v>16.329999999999998</v>
      </c>
      <c r="F166" s="35">
        <f t="shared" si="9"/>
        <v>14.478945099999994</v>
      </c>
      <c r="G166" s="35">
        <f t="shared" si="10"/>
        <v>1.8510549000000047</v>
      </c>
      <c r="H166" s="35">
        <f t="shared" si="11"/>
        <v>3.4264042428140273</v>
      </c>
      <c r="I166" s="35"/>
    </row>
    <row r="167" spans="3:9" ht="14.25" customHeight="1" x14ac:dyDescent="0.35">
      <c r="C167" s="35">
        <v>740.48</v>
      </c>
      <c r="D167" s="35">
        <v>25.11</v>
      </c>
      <c r="E167" s="35">
        <v>19.64</v>
      </c>
      <c r="F167" s="35">
        <f t="shared" si="9"/>
        <v>19.269977600000004</v>
      </c>
      <c r="G167" s="35">
        <f t="shared" si="10"/>
        <v>0.37002239999999631</v>
      </c>
      <c r="H167" s="35">
        <f t="shared" si="11"/>
        <v>0.13691657650175726</v>
      </c>
      <c r="I167" s="35"/>
    </row>
    <row r="168" spans="3:9" ht="14.25" customHeight="1" x14ac:dyDescent="0.35">
      <c r="C168" s="35">
        <v>727.1</v>
      </c>
      <c r="D168" s="35">
        <v>21.08</v>
      </c>
      <c r="E168" s="35">
        <v>24.38</v>
      </c>
      <c r="F168" s="35">
        <f t="shared" si="9"/>
        <v>23.521648200000001</v>
      </c>
      <c r="G168" s="35">
        <f t="shared" si="10"/>
        <v>0.85835179999999767</v>
      </c>
      <c r="H168" s="35">
        <f t="shared" si="11"/>
        <v>0.73676781256323598</v>
      </c>
      <c r="I168" s="35"/>
    </row>
    <row r="169" spans="3:9" ht="14.25" customHeight="1" x14ac:dyDescent="0.35">
      <c r="C169" s="35">
        <v>710.29</v>
      </c>
      <c r="D169" s="35">
        <v>26.86</v>
      </c>
      <c r="E169" s="35">
        <v>17.940000000000001</v>
      </c>
      <c r="F169" s="35">
        <f t="shared" si="9"/>
        <v>15.9408715</v>
      </c>
      <c r="G169" s="35">
        <f t="shared" si="10"/>
        <v>1.9991285000000012</v>
      </c>
      <c r="H169" s="35">
        <f t="shared" si="11"/>
        <v>3.9965147595122548</v>
      </c>
      <c r="I169" s="35"/>
    </row>
    <row r="170" spans="3:9" ht="14.25" customHeight="1" x14ac:dyDescent="0.35">
      <c r="C170" s="35">
        <v>615.85</v>
      </c>
      <c r="D170" s="35">
        <v>27.09</v>
      </c>
      <c r="E170" s="35">
        <v>13.84</v>
      </c>
      <c r="F170" s="35">
        <f t="shared" si="9"/>
        <v>11.776783099999996</v>
      </c>
      <c r="G170" s="35">
        <f t="shared" si="10"/>
        <v>2.063216900000004</v>
      </c>
      <c r="H170" s="35">
        <f t="shared" si="11"/>
        <v>4.2568639764456266</v>
      </c>
      <c r="I170" s="35"/>
    </row>
    <row r="171" spans="3:9" ht="14.25" customHeight="1" x14ac:dyDescent="0.35">
      <c r="C171" s="35">
        <v>790.43</v>
      </c>
      <c r="D171" s="35">
        <v>23.39</v>
      </c>
      <c r="E171" s="35">
        <v>23.03</v>
      </c>
      <c r="F171" s="35">
        <f t="shared" si="9"/>
        <v>23.377245300000002</v>
      </c>
      <c r="G171" s="35">
        <f t="shared" si="10"/>
        <v>0.34724530000000087</v>
      </c>
      <c r="H171" s="35">
        <f t="shared" si="11"/>
        <v>0.1205792983720906</v>
      </c>
      <c r="I171" s="35"/>
    </row>
    <row r="172" spans="3:9" ht="14.25" customHeight="1" x14ac:dyDescent="0.35">
      <c r="C172" s="35">
        <v>813.68</v>
      </c>
      <c r="D172" s="35">
        <v>30.53</v>
      </c>
      <c r="E172" s="35">
        <v>15.12</v>
      </c>
      <c r="F172" s="35">
        <f t="shared" si="9"/>
        <v>15.8257464</v>
      </c>
      <c r="G172" s="35">
        <f t="shared" si="10"/>
        <v>0.70574640000000066</v>
      </c>
      <c r="H172" s="35">
        <f t="shared" si="11"/>
        <v>0.49807798111296092</v>
      </c>
      <c r="I172" s="35"/>
    </row>
    <row r="173" spans="3:9" ht="14.25" customHeight="1" x14ac:dyDescent="0.35">
      <c r="C173" s="35">
        <v>1042.43</v>
      </c>
      <c r="D173" s="35">
        <v>20.72</v>
      </c>
      <c r="E173" s="35">
        <v>37.26</v>
      </c>
      <c r="F173" s="35">
        <f t="shared" si="9"/>
        <v>36.939124500000005</v>
      </c>
      <c r="G173" s="35">
        <f t="shared" si="10"/>
        <v>0.32087549999999254</v>
      </c>
      <c r="H173" s="35">
        <f t="shared" si="11"/>
        <v>0.10296108650024521</v>
      </c>
      <c r="I173" s="35"/>
    </row>
    <row r="174" spans="3:9" ht="14.25" customHeight="1" x14ac:dyDescent="0.35">
      <c r="C174" s="35">
        <v>1057.47</v>
      </c>
      <c r="D174" s="35">
        <v>21.27</v>
      </c>
      <c r="E174" s="35">
        <v>36.57</v>
      </c>
      <c r="F174" s="35">
        <f t="shared" si="9"/>
        <v>36.903154100000009</v>
      </c>
      <c r="G174" s="35">
        <f t="shared" si="10"/>
        <v>0.33315410000000867</v>
      </c>
      <c r="H174" s="35">
        <f t="shared" si="11"/>
        <v>0.11099165434681578</v>
      </c>
      <c r="I174" s="35"/>
    </row>
    <row r="175" spans="3:9" ht="14.25" customHeight="1" x14ac:dyDescent="0.35">
      <c r="C175" s="35">
        <v>865.67</v>
      </c>
      <c r="D175" s="35">
        <v>24.03</v>
      </c>
      <c r="E175" s="35">
        <v>22.95</v>
      </c>
      <c r="F175" s="35">
        <f t="shared" si="9"/>
        <v>25.713654499999997</v>
      </c>
      <c r="G175" s="35">
        <f t="shared" si="10"/>
        <v>2.7636544999999977</v>
      </c>
      <c r="H175" s="35">
        <f t="shared" si="11"/>
        <v>7.6377861953702375</v>
      </c>
      <c r="I175" s="35"/>
    </row>
    <row r="176" spans="3:9" ht="14.25" customHeight="1" x14ac:dyDescent="0.35">
      <c r="C176" s="35">
        <v>822.44</v>
      </c>
      <c r="D176" s="35">
        <v>24.43</v>
      </c>
      <c r="E176" s="35">
        <v>25.49</v>
      </c>
      <c r="F176" s="35">
        <f t="shared" si="9"/>
        <v>23.4563068</v>
      </c>
      <c r="G176" s="35">
        <f t="shared" si="10"/>
        <v>2.0336931999999983</v>
      </c>
      <c r="H176" s="35">
        <f t="shared" si="11"/>
        <v>4.1359080317262329</v>
      </c>
      <c r="I176" s="35"/>
    </row>
    <row r="177" spans="3:9" ht="14.25" customHeight="1" x14ac:dyDescent="0.35">
      <c r="C177" s="35">
        <v>1044.75</v>
      </c>
      <c r="D177" s="35">
        <v>21.51</v>
      </c>
      <c r="E177" s="35">
        <v>36.01</v>
      </c>
      <c r="F177" s="35">
        <f t="shared" si="9"/>
        <v>36.0931949</v>
      </c>
      <c r="G177" s="35">
        <f t="shared" si="10"/>
        <v>8.3194900000002292E-2</v>
      </c>
      <c r="H177" s="35">
        <f t="shared" si="11"/>
        <v>6.9213913860103815E-3</v>
      </c>
      <c r="I177" s="35"/>
    </row>
    <row r="178" spans="3:9" ht="14.25" customHeight="1" x14ac:dyDescent="0.35">
      <c r="C178" s="35">
        <v>1121.0999999999999</v>
      </c>
      <c r="D178" s="35">
        <v>33.619999999999997</v>
      </c>
      <c r="E178" s="35">
        <v>25.61</v>
      </c>
      <c r="F178" s="35">
        <f t="shared" si="9"/>
        <v>24.805837799999992</v>
      </c>
      <c r="G178" s="35">
        <f t="shared" si="10"/>
        <v>0.80416220000000749</v>
      </c>
      <c r="H178" s="35">
        <f t="shared" si="11"/>
        <v>0.64667684390885205</v>
      </c>
      <c r="I178" s="35"/>
    </row>
    <row r="179" spans="3:9" ht="14.25" customHeight="1" x14ac:dyDescent="0.35">
      <c r="C179" s="35">
        <v>972.44</v>
      </c>
      <c r="D179" s="35">
        <v>32.08</v>
      </c>
      <c r="E179" s="35">
        <v>18.649999999999999</v>
      </c>
      <c r="F179" s="35">
        <f t="shared" si="9"/>
        <v>20.517842800000004</v>
      </c>
      <c r="G179" s="35">
        <f t="shared" si="10"/>
        <v>1.8678428000000054</v>
      </c>
      <c r="H179" s="35">
        <f t="shared" si="11"/>
        <v>3.48883672551186</v>
      </c>
      <c r="I179" s="35"/>
    </row>
    <row r="180" spans="3:9" ht="14.25" customHeight="1" x14ac:dyDescent="0.35">
      <c r="C180" s="35">
        <v>1060.3399999999999</v>
      </c>
      <c r="D180" s="35">
        <v>19.82</v>
      </c>
      <c r="E180" s="35">
        <v>40.57</v>
      </c>
      <c r="F180" s="35">
        <f t="shared" si="9"/>
        <v>38.749421399999989</v>
      </c>
      <c r="G180" s="35">
        <f t="shared" si="10"/>
        <v>1.8205786000000117</v>
      </c>
      <c r="H180" s="35">
        <f t="shared" si="11"/>
        <v>3.3145064387780026</v>
      </c>
      <c r="I180" s="35"/>
    </row>
    <row r="181" spans="3:9" ht="14.25" customHeight="1" x14ac:dyDescent="0.35">
      <c r="C181" s="35">
        <v>1157.3800000000001</v>
      </c>
      <c r="D181" s="35">
        <v>24.28</v>
      </c>
      <c r="E181" s="35">
        <v>36.28</v>
      </c>
      <c r="F181" s="35">
        <f t="shared" si="9"/>
        <v>37.431249399999999</v>
      </c>
      <c r="G181" s="35">
        <f t="shared" si="10"/>
        <v>1.1512493999999975</v>
      </c>
      <c r="H181" s="35">
        <f t="shared" si="11"/>
        <v>1.3253751810003542</v>
      </c>
      <c r="I181" s="35"/>
    </row>
    <row r="182" spans="3:9" ht="14.25" customHeight="1" x14ac:dyDescent="0.35">
      <c r="C182" s="35">
        <v>528.46</v>
      </c>
      <c r="D182" s="35">
        <v>21.96</v>
      </c>
      <c r="E182" s="35">
        <v>14.63</v>
      </c>
      <c r="F182" s="35">
        <f t="shared" si="9"/>
        <v>14.290917800000006</v>
      </c>
      <c r="G182" s="35">
        <f t="shared" si="10"/>
        <v>0.33908219999999467</v>
      </c>
      <c r="H182" s="35">
        <f t="shared" si="11"/>
        <v>0.11497673835683639</v>
      </c>
      <c r="I182" s="35"/>
    </row>
    <row r="183" spans="3:9" ht="14.25" customHeight="1" x14ac:dyDescent="0.35">
      <c r="C183" s="35">
        <v>1112.97</v>
      </c>
      <c r="D183" s="35">
        <v>25.67</v>
      </c>
      <c r="E183" s="35">
        <v>31.61</v>
      </c>
      <c r="F183" s="35">
        <f t="shared" si="9"/>
        <v>33.945455100000004</v>
      </c>
      <c r="G183" s="35">
        <f t="shared" si="10"/>
        <v>2.3354551000000043</v>
      </c>
      <c r="H183" s="35">
        <f t="shared" si="11"/>
        <v>5.4543505241160304</v>
      </c>
      <c r="I183" s="35"/>
    </row>
    <row r="184" spans="3:9" ht="14.25" customHeight="1" x14ac:dyDescent="0.35">
      <c r="C184" s="35">
        <v>693.59</v>
      </c>
      <c r="D184" s="35">
        <v>22.7</v>
      </c>
      <c r="E184" s="35">
        <v>20.260000000000002</v>
      </c>
      <c r="F184" s="35">
        <f t="shared" si="9"/>
        <v>20.210720100000003</v>
      </c>
      <c r="G184" s="35">
        <f t="shared" si="10"/>
        <v>4.9279899999998378E-2</v>
      </c>
      <c r="H184" s="35">
        <f t="shared" si="11"/>
        <v>2.42850854400984E-3</v>
      </c>
      <c r="I184" s="35"/>
    </row>
    <row r="185" spans="3:9" ht="14.25" customHeight="1" x14ac:dyDescent="0.35">
      <c r="C185" s="35">
        <v>833.04</v>
      </c>
      <c r="D185" s="35">
        <v>26.53</v>
      </c>
      <c r="E185" s="35">
        <v>21.14</v>
      </c>
      <c r="F185" s="35">
        <f t="shared" si="9"/>
        <v>21.390224800000002</v>
      </c>
      <c r="G185" s="35">
        <f t="shared" si="10"/>
        <v>0.25022480000000158</v>
      </c>
      <c r="H185" s="35">
        <f t="shared" si="11"/>
        <v>6.261245053504079E-2</v>
      </c>
      <c r="I185" s="35"/>
    </row>
    <row r="186" spans="3:9" ht="14.25" customHeight="1" x14ac:dyDescent="0.35">
      <c r="C186" s="35">
        <v>1057.73</v>
      </c>
      <c r="D186" s="35">
        <v>33.68</v>
      </c>
      <c r="E186" s="35">
        <v>21.61</v>
      </c>
      <c r="F186" s="35">
        <f t="shared" si="9"/>
        <v>22.124121899999999</v>
      </c>
      <c r="G186" s="35">
        <f t="shared" si="10"/>
        <v>0.51412189999999924</v>
      </c>
      <c r="H186" s="35">
        <f t="shared" si="11"/>
        <v>0.26432132805960923</v>
      </c>
      <c r="I186" s="35"/>
    </row>
    <row r="187" spans="3:9" ht="14.25" customHeight="1" x14ac:dyDescent="0.35">
      <c r="C187" s="35">
        <v>1002.07</v>
      </c>
      <c r="D187" s="35">
        <v>24.5</v>
      </c>
      <c r="E187" s="35">
        <v>31.34</v>
      </c>
      <c r="F187" s="35">
        <f t="shared" si="9"/>
        <v>30.771843300000004</v>
      </c>
      <c r="G187" s="35">
        <f t="shared" si="10"/>
        <v>0.56815669999999585</v>
      </c>
      <c r="H187" s="35">
        <f t="shared" si="11"/>
        <v>0.32280203575488531</v>
      </c>
      <c r="I187" s="35"/>
    </row>
    <row r="188" spans="3:9" ht="14.25" customHeight="1" x14ac:dyDescent="0.35">
      <c r="C188" s="35">
        <v>603</v>
      </c>
      <c r="D188" s="35">
        <v>29.05</v>
      </c>
      <c r="E188" s="35">
        <v>9.35</v>
      </c>
      <c r="F188" s="35">
        <f t="shared" si="9"/>
        <v>8.9116420000000005</v>
      </c>
      <c r="G188" s="35">
        <f t="shared" si="10"/>
        <v>0.43835799999999914</v>
      </c>
      <c r="H188" s="35">
        <f t="shared" si="11"/>
        <v>0.19215773616399925</v>
      </c>
      <c r="I188" s="35"/>
    </row>
    <row r="189" spans="3:9" ht="14.25" customHeight="1" x14ac:dyDescent="0.35">
      <c r="C189" s="35">
        <v>961.12</v>
      </c>
      <c r="D189" s="35">
        <v>28.13</v>
      </c>
      <c r="E189" s="35">
        <v>26.16</v>
      </c>
      <c r="F189" s="35">
        <f t="shared" si="9"/>
        <v>24.759023999999997</v>
      </c>
      <c r="G189" s="35">
        <f t="shared" si="10"/>
        <v>1.4009760000000036</v>
      </c>
      <c r="H189" s="35">
        <f t="shared" si="11"/>
        <v>1.96273375257601</v>
      </c>
      <c r="I189" s="35"/>
    </row>
    <row r="190" spans="3:9" ht="14.25" customHeight="1" x14ac:dyDescent="0.35">
      <c r="C190" s="35"/>
      <c r="D190" s="35"/>
      <c r="E190" s="35"/>
      <c r="F190" s="35"/>
      <c r="G190" s="35"/>
      <c r="H190" s="35"/>
      <c r="I190" s="35"/>
    </row>
    <row r="191" spans="3:9" ht="14.25" customHeight="1" x14ac:dyDescent="0.35">
      <c r="C191" s="35"/>
      <c r="D191" s="35"/>
      <c r="E191" s="35"/>
      <c r="F191" s="35"/>
      <c r="G191" s="35"/>
      <c r="H191" s="35"/>
      <c r="I191" s="35"/>
    </row>
    <row r="192" spans="3:9" ht="14.25" customHeight="1" x14ac:dyDescent="0.35">
      <c r="C192" s="35"/>
      <c r="D192" s="35"/>
      <c r="E192" s="35"/>
      <c r="F192" s="35"/>
      <c r="G192" s="35"/>
      <c r="H192" s="35"/>
      <c r="I192" s="35"/>
    </row>
    <row r="193" spans="3:10" ht="14.25" customHeight="1" x14ac:dyDescent="0.35">
      <c r="C193" s="35"/>
      <c r="D193" s="35"/>
      <c r="E193" s="35"/>
      <c r="F193" s="35"/>
      <c r="G193" s="35"/>
      <c r="H193" s="35"/>
      <c r="I193" s="35"/>
    </row>
    <row r="194" spans="3:10" ht="14.25" customHeight="1" x14ac:dyDescent="0.35">
      <c r="C194" s="35"/>
      <c r="D194" s="35"/>
      <c r="E194" s="35"/>
      <c r="F194" s="35"/>
      <c r="G194" s="35"/>
      <c r="H194" s="35"/>
      <c r="I194" s="35"/>
    </row>
    <row r="195" spans="3:10" ht="14.25" customHeight="1" x14ac:dyDescent="0.35">
      <c r="C195" s="35"/>
      <c r="D195" s="35"/>
      <c r="E195" s="35"/>
      <c r="F195" s="35"/>
      <c r="G195" s="35"/>
      <c r="H195" s="35"/>
      <c r="I195" s="35"/>
    </row>
    <row r="196" spans="3:10" ht="14.25" customHeight="1" x14ac:dyDescent="0.35">
      <c r="C196" s="35" t="s">
        <v>59</v>
      </c>
      <c r="D196" s="35"/>
      <c r="E196" s="35"/>
      <c r="F196" s="35"/>
      <c r="G196" s="35"/>
      <c r="H196" s="35"/>
      <c r="I196" s="35"/>
    </row>
    <row r="197" spans="3:10" ht="14.25" customHeight="1" x14ac:dyDescent="0.35">
      <c r="C197" s="21" t="s">
        <v>60</v>
      </c>
      <c r="D197" s="35"/>
      <c r="E197" s="35"/>
      <c r="F197" s="35"/>
      <c r="G197" s="35"/>
      <c r="H197" s="35"/>
      <c r="I197" s="35"/>
    </row>
    <row r="198" spans="3:10" ht="14.25" customHeight="1" x14ac:dyDescent="0.35">
      <c r="C198" s="35"/>
      <c r="D198" s="35"/>
      <c r="E198" s="35"/>
      <c r="F198" s="35"/>
      <c r="G198" s="35"/>
      <c r="H198" s="35"/>
      <c r="I198" s="35"/>
    </row>
    <row r="199" spans="3:10" ht="14.25" customHeight="1" x14ac:dyDescent="0.35">
      <c r="C199" s="21" t="s">
        <v>8</v>
      </c>
      <c r="D199" s="21" t="s">
        <v>9</v>
      </c>
      <c r="E199" s="21" t="s">
        <v>10</v>
      </c>
      <c r="F199" s="21" t="s">
        <v>54</v>
      </c>
      <c r="G199" s="21" t="s">
        <v>55</v>
      </c>
      <c r="H199" s="21" t="s">
        <v>85</v>
      </c>
      <c r="I199" s="21" t="s">
        <v>61</v>
      </c>
      <c r="J199" s="21" t="s">
        <v>86</v>
      </c>
    </row>
    <row r="200" spans="3:10" ht="14.25" customHeight="1" x14ac:dyDescent="0.35">
      <c r="C200" s="35">
        <v>795.66</v>
      </c>
      <c r="D200" s="35">
        <v>18.39</v>
      </c>
      <c r="E200" s="35">
        <v>30.2</v>
      </c>
      <c r="F200" s="35">
        <f t="shared" ref="F200:F249" si="12">18.4326+0.04198*C200-1.20537*D200</f>
        <v>29.667652500000003</v>
      </c>
      <c r="G200" s="35">
        <f t="shared" ref="G200:G249" si="13">ABS(E200-F200)</f>
        <v>0.53234749999999664</v>
      </c>
      <c r="H200" s="35">
        <f t="shared" ref="H200:H249" si="14">G200^2</f>
        <v>0.28339386075624645</v>
      </c>
      <c r="I200" s="35">
        <f>AVERAGE(H200:H249)</f>
        <v>1.5446686511004841</v>
      </c>
      <c r="J200" s="18">
        <f>SQRT(I200)</f>
        <v>1.2428469942436535</v>
      </c>
    </row>
    <row r="201" spans="3:10" ht="14.25" customHeight="1" x14ac:dyDescent="0.35">
      <c r="C201" s="35">
        <v>798.52</v>
      </c>
      <c r="D201" s="35">
        <v>26.92</v>
      </c>
      <c r="E201" s="35">
        <v>20.85</v>
      </c>
      <c r="F201" s="35">
        <f t="shared" si="12"/>
        <v>19.505909199999998</v>
      </c>
      <c r="G201" s="35">
        <f t="shared" si="13"/>
        <v>1.3440908000000036</v>
      </c>
      <c r="H201" s="35">
        <f t="shared" si="14"/>
        <v>1.8065800786446495</v>
      </c>
      <c r="I201" s="35"/>
    </row>
    <row r="202" spans="3:10" ht="14.25" customHeight="1" x14ac:dyDescent="0.35">
      <c r="C202" s="35">
        <v>944.07</v>
      </c>
      <c r="D202" s="35">
        <v>29.84</v>
      </c>
      <c r="E202" s="35">
        <v>21.28</v>
      </c>
      <c r="F202" s="35">
        <f t="shared" si="12"/>
        <v>22.096417800000005</v>
      </c>
      <c r="G202" s="35">
        <f t="shared" si="13"/>
        <v>0.81641780000000352</v>
      </c>
      <c r="H202" s="35">
        <f t="shared" si="14"/>
        <v>0.66653802415684571</v>
      </c>
      <c r="I202" s="35"/>
    </row>
    <row r="203" spans="3:10" ht="14.25" customHeight="1" x14ac:dyDescent="0.35">
      <c r="C203" s="35">
        <v>866.03</v>
      </c>
      <c r="D203" s="35">
        <v>25.26</v>
      </c>
      <c r="E203" s="35">
        <v>24.07</v>
      </c>
      <c r="F203" s="35">
        <f t="shared" si="12"/>
        <v>24.3408932</v>
      </c>
      <c r="G203" s="35">
        <f t="shared" si="13"/>
        <v>0.27089319999999972</v>
      </c>
      <c r="H203" s="35">
        <f t="shared" si="14"/>
        <v>7.3383125806239846E-2</v>
      </c>
      <c r="I203" s="35"/>
    </row>
    <row r="204" spans="3:10" ht="14.25" customHeight="1" x14ac:dyDescent="0.35">
      <c r="C204" s="35">
        <v>790.42</v>
      </c>
      <c r="D204" s="35">
        <v>20.29</v>
      </c>
      <c r="E204" s="35">
        <v>25.57</v>
      </c>
      <c r="F204" s="35">
        <f t="shared" si="12"/>
        <v>27.157474300000004</v>
      </c>
      <c r="G204" s="35">
        <f t="shared" si="13"/>
        <v>1.5874743000000038</v>
      </c>
      <c r="H204" s="35">
        <f t="shared" si="14"/>
        <v>2.5200746531605018</v>
      </c>
      <c r="I204" s="35"/>
    </row>
    <row r="205" spans="3:10" ht="14.25" customHeight="1" x14ac:dyDescent="0.35">
      <c r="C205" s="35">
        <v>501</v>
      </c>
      <c r="D205" s="35">
        <v>23.63</v>
      </c>
      <c r="E205" s="35">
        <v>11.2</v>
      </c>
      <c r="F205" s="35">
        <f t="shared" si="12"/>
        <v>10.9816869</v>
      </c>
      <c r="G205" s="35">
        <f t="shared" si="13"/>
        <v>0.21831309999999959</v>
      </c>
      <c r="H205" s="35">
        <f t="shared" si="14"/>
        <v>4.766060963160982E-2</v>
      </c>
      <c r="I205" s="35"/>
    </row>
    <row r="206" spans="3:10" ht="14.25" customHeight="1" x14ac:dyDescent="0.35">
      <c r="C206" s="35">
        <v>564.58000000000004</v>
      </c>
      <c r="D206" s="35">
        <v>28.04</v>
      </c>
      <c r="E206" s="35">
        <v>9.83</v>
      </c>
      <c r="F206" s="35">
        <f t="shared" si="12"/>
        <v>8.3350936000000075</v>
      </c>
      <c r="G206" s="35">
        <f t="shared" si="13"/>
        <v>1.4949063999999925</v>
      </c>
      <c r="H206" s="35">
        <f t="shared" si="14"/>
        <v>2.2347451447609377</v>
      </c>
      <c r="I206" s="35"/>
    </row>
    <row r="207" spans="3:10" ht="14.25" customHeight="1" x14ac:dyDescent="0.35">
      <c r="C207" s="35">
        <v>996.58</v>
      </c>
      <c r="D207" s="35">
        <v>33.99</v>
      </c>
      <c r="E207" s="35">
        <v>18.62</v>
      </c>
      <c r="F207" s="35">
        <f t="shared" si="12"/>
        <v>19.2985021</v>
      </c>
      <c r="G207" s="35">
        <f t="shared" si="13"/>
        <v>0.67850209999999933</v>
      </c>
      <c r="H207" s="35">
        <f t="shared" si="14"/>
        <v>0.46036509970440909</v>
      </c>
      <c r="I207" s="35"/>
    </row>
    <row r="208" spans="3:10" ht="14.25" customHeight="1" x14ac:dyDescent="0.35">
      <c r="C208" s="35">
        <v>867.04</v>
      </c>
      <c r="D208" s="35">
        <v>34.869999999999997</v>
      </c>
      <c r="E208" s="35">
        <v>13.55</v>
      </c>
      <c r="F208" s="35">
        <f t="shared" si="12"/>
        <v>12.799687300000002</v>
      </c>
      <c r="G208" s="35">
        <f t="shared" si="13"/>
        <v>0.7503126999999985</v>
      </c>
      <c r="H208" s="35">
        <f t="shared" si="14"/>
        <v>0.5629691477812877</v>
      </c>
      <c r="I208" s="35"/>
    </row>
    <row r="209" spans="3:9" ht="14.25" customHeight="1" x14ac:dyDescent="0.35">
      <c r="C209" s="35">
        <v>987.31</v>
      </c>
      <c r="D209" s="35">
        <v>22.11</v>
      </c>
      <c r="E209" s="35">
        <v>32.1</v>
      </c>
      <c r="F209" s="35">
        <f t="shared" si="12"/>
        <v>33.229143100000002</v>
      </c>
      <c r="G209" s="35">
        <f t="shared" si="13"/>
        <v>1.1291431000000003</v>
      </c>
      <c r="H209" s="35">
        <f t="shared" si="14"/>
        <v>1.2749641402776106</v>
      </c>
      <c r="I209" s="35"/>
    </row>
    <row r="210" spans="3:9" ht="14.25" customHeight="1" x14ac:dyDescent="0.35">
      <c r="C210" s="35">
        <v>1168.83</v>
      </c>
      <c r="D210" s="35">
        <v>18.18</v>
      </c>
      <c r="E210" s="35">
        <v>44.05</v>
      </c>
      <c r="F210" s="35">
        <f t="shared" si="12"/>
        <v>45.586456799999993</v>
      </c>
      <c r="G210" s="35">
        <f t="shared" si="13"/>
        <v>1.5364567999999963</v>
      </c>
      <c r="H210" s="35">
        <f t="shared" si="14"/>
        <v>2.3606994982662286</v>
      </c>
      <c r="I210" s="35"/>
    </row>
    <row r="211" spans="3:9" ht="14.25" customHeight="1" x14ac:dyDescent="0.35">
      <c r="C211" s="35">
        <v>978.04</v>
      </c>
      <c r="D211" s="35">
        <v>32.119999999999997</v>
      </c>
      <c r="E211" s="35">
        <v>20.64</v>
      </c>
      <c r="F211" s="35">
        <f t="shared" si="12"/>
        <v>20.774234800000002</v>
      </c>
      <c r="G211" s="35">
        <f t="shared" si="13"/>
        <v>0.13423480000000154</v>
      </c>
      <c r="H211" s="35">
        <f t="shared" si="14"/>
        <v>1.8018981531040413E-2</v>
      </c>
      <c r="I211" s="35"/>
    </row>
    <row r="212" spans="3:9" ht="14.25" customHeight="1" x14ac:dyDescent="0.35">
      <c r="C212" s="35">
        <v>537.19000000000005</v>
      </c>
      <c r="D212" s="35">
        <v>33.75</v>
      </c>
      <c r="E212" s="35">
        <v>0.69</v>
      </c>
      <c r="F212" s="35">
        <f t="shared" si="12"/>
        <v>0.30259870000000433</v>
      </c>
      <c r="G212" s="35">
        <f t="shared" si="13"/>
        <v>0.38740129999999562</v>
      </c>
      <c r="H212" s="35">
        <f t="shared" si="14"/>
        <v>0.15007976724168662</v>
      </c>
      <c r="I212" s="35"/>
    </row>
    <row r="213" spans="3:9" ht="14.25" customHeight="1" x14ac:dyDescent="0.35">
      <c r="C213" s="35">
        <v>716.2</v>
      </c>
      <c r="D213" s="35">
        <v>25.8</v>
      </c>
      <c r="E213" s="35">
        <v>18.579999999999998</v>
      </c>
      <c r="F213" s="35">
        <f t="shared" si="12"/>
        <v>17.400130000000001</v>
      </c>
      <c r="G213" s="35">
        <f t="shared" si="13"/>
        <v>1.1798699999999975</v>
      </c>
      <c r="H213" s="35">
        <f t="shared" si="14"/>
        <v>1.3920932168999942</v>
      </c>
      <c r="I213" s="35"/>
    </row>
    <row r="214" spans="3:9" ht="14.25" customHeight="1" x14ac:dyDescent="0.35">
      <c r="C214" s="35">
        <v>914.82</v>
      </c>
      <c r="D214" s="35">
        <v>31.11</v>
      </c>
      <c r="E214" s="35">
        <v>19.52</v>
      </c>
      <c r="F214" s="35">
        <f t="shared" si="12"/>
        <v>19.337682900000004</v>
      </c>
      <c r="G214" s="35">
        <f t="shared" si="13"/>
        <v>0.18231709999999524</v>
      </c>
      <c r="H214" s="35">
        <f t="shared" si="14"/>
        <v>3.3239524952408263E-2</v>
      </c>
      <c r="I214" s="35"/>
    </row>
    <row r="215" spans="3:9" ht="14.25" customHeight="1" x14ac:dyDescent="0.35">
      <c r="C215" s="35">
        <v>664.58</v>
      </c>
      <c r="D215" s="35">
        <v>32.729999999999997</v>
      </c>
      <c r="E215" s="35">
        <v>9.92</v>
      </c>
      <c r="F215" s="35">
        <f t="shared" si="12"/>
        <v>6.8799083000000039</v>
      </c>
      <c r="G215" s="35">
        <f t="shared" si="13"/>
        <v>3.0400916999999961</v>
      </c>
      <c r="H215" s="35">
        <f t="shared" si="14"/>
        <v>9.2421575444088653</v>
      </c>
      <c r="I215" s="35"/>
    </row>
    <row r="216" spans="3:9" ht="14.25" customHeight="1" x14ac:dyDescent="0.35">
      <c r="C216" s="35">
        <v>1175.48</v>
      </c>
      <c r="D216" s="35">
        <v>28.36</v>
      </c>
      <c r="E216" s="35">
        <v>32.65</v>
      </c>
      <c r="F216" s="35">
        <f t="shared" si="12"/>
        <v>33.594957199999996</v>
      </c>
      <c r="G216" s="35">
        <f t="shared" si="13"/>
        <v>0.9449571999999975</v>
      </c>
      <c r="H216" s="35">
        <f t="shared" si="14"/>
        <v>0.89294410983183525</v>
      </c>
      <c r="I216" s="35"/>
    </row>
    <row r="217" spans="3:9" ht="14.25" customHeight="1" x14ac:dyDescent="0.35">
      <c r="C217" s="35">
        <v>1161.53</v>
      </c>
      <c r="D217" s="35">
        <v>32.83</v>
      </c>
      <c r="E217" s="35">
        <v>26.72</v>
      </c>
      <c r="F217" s="35">
        <f t="shared" si="12"/>
        <v>27.621332300000006</v>
      </c>
      <c r="G217" s="35">
        <f t="shared" si="13"/>
        <v>0.90133230000000708</v>
      </c>
      <c r="H217" s="35">
        <f t="shared" si="14"/>
        <v>0.81239991502330278</v>
      </c>
      <c r="I217" s="35"/>
    </row>
    <row r="218" spans="3:9" ht="14.25" customHeight="1" x14ac:dyDescent="0.35">
      <c r="C218" s="35">
        <v>1093.8800000000001</v>
      </c>
      <c r="D218" s="35">
        <v>18.41</v>
      </c>
      <c r="E218" s="35">
        <v>40.11</v>
      </c>
      <c r="F218" s="35">
        <f t="shared" si="12"/>
        <v>42.162820700000012</v>
      </c>
      <c r="G218" s="35">
        <f t="shared" si="13"/>
        <v>2.0528207000000123</v>
      </c>
      <c r="H218" s="35">
        <f t="shared" si="14"/>
        <v>4.2140728263485405</v>
      </c>
      <c r="I218" s="35"/>
    </row>
    <row r="219" spans="3:9" ht="14.25" customHeight="1" x14ac:dyDescent="0.35">
      <c r="C219" s="35">
        <v>830.63</v>
      </c>
      <c r="D219" s="35">
        <v>22.62</v>
      </c>
      <c r="E219" s="35">
        <v>26.12</v>
      </c>
      <c r="F219" s="35">
        <f t="shared" si="12"/>
        <v>26.036978000000005</v>
      </c>
      <c r="G219" s="35">
        <f t="shared" si="13"/>
        <v>8.3021999999996154E-2</v>
      </c>
      <c r="H219" s="35">
        <f t="shared" si="14"/>
        <v>6.8926524839993614E-3</v>
      </c>
      <c r="I219" s="35"/>
    </row>
    <row r="220" spans="3:9" ht="14.25" customHeight="1" x14ac:dyDescent="0.35">
      <c r="C220" s="35">
        <v>1089.03</v>
      </c>
      <c r="D220" s="35">
        <v>22.71</v>
      </c>
      <c r="E220" s="35">
        <v>37.33</v>
      </c>
      <c r="F220" s="35">
        <f t="shared" si="12"/>
        <v>36.776126700000006</v>
      </c>
      <c r="G220" s="35">
        <f t="shared" si="13"/>
        <v>0.55387329999999224</v>
      </c>
      <c r="H220" s="35">
        <f t="shared" si="14"/>
        <v>0.30677563245288142</v>
      </c>
      <c r="I220" s="35"/>
    </row>
    <row r="221" spans="3:9" ht="14.25" customHeight="1" x14ac:dyDescent="0.35">
      <c r="C221" s="35">
        <v>591.78</v>
      </c>
      <c r="D221" s="35">
        <v>20.05</v>
      </c>
      <c r="E221" s="35">
        <v>18.5</v>
      </c>
      <c r="F221" s="35">
        <f t="shared" si="12"/>
        <v>19.107855900000001</v>
      </c>
      <c r="G221" s="35">
        <f t="shared" si="13"/>
        <v>0.60785590000000056</v>
      </c>
      <c r="H221" s="35">
        <f t="shared" si="14"/>
        <v>0.3694887951648107</v>
      </c>
      <c r="I221" s="35"/>
    </row>
    <row r="222" spans="3:9" ht="14.25" customHeight="1" x14ac:dyDescent="0.35">
      <c r="C222" s="35">
        <v>716.11</v>
      </c>
      <c r="D222" s="35">
        <v>33.479999999999997</v>
      </c>
      <c r="E222" s="35">
        <v>8.39</v>
      </c>
      <c r="F222" s="35">
        <f t="shared" si="12"/>
        <v>8.1391102000000046</v>
      </c>
      <c r="G222" s="35">
        <f t="shared" si="13"/>
        <v>0.25088979999999594</v>
      </c>
      <c r="H222" s="35">
        <f t="shared" si="14"/>
        <v>6.2945691744037968E-2</v>
      </c>
      <c r="I222" s="35"/>
    </row>
    <row r="223" spans="3:9" ht="14.25" customHeight="1" x14ac:dyDescent="0.35">
      <c r="C223" s="35">
        <v>824.1</v>
      </c>
      <c r="D223" s="35">
        <v>18.52</v>
      </c>
      <c r="E223" s="35">
        <v>31.82</v>
      </c>
      <c r="F223" s="35">
        <f t="shared" si="12"/>
        <v>30.704865600000005</v>
      </c>
      <c r="G223" s="35">
        <f t="shared" si="13"/>
        <v>1.1151343999999952</v>
      </c>
      <c r="H223" s="35">
        <f t="shared" si="14"/>
        <v>1.2435247300633492</v>
      </c>
      <c r="I223" s="35"/>
    </row>
    <row r="224" spans="3:9" ht="14.25" customHeight="1" x14ac:dyDescent="0.35">
      <c r="C224" s="35">
        <v>1019.29</v>
      </c>
      <c r="D224" s="35">
        <v>29.43</v>
      </c>
      <c r="E224" s="35">
        <v>25.26</v>
      </c>
      <c r="F224" s="35">
        <f t="shared" si="12"/>
        <v>25.748355100000005</v>
      </c>
      <c r="G224" s="35">
        <f t="shared" si="13"/>
        <v>0.48835510000000326</v>
      </c>
      <c r="H224" s="35">
        <f t="shared" si="14"/>
        <v>0.23849070369601319</v>
      </c>
      <c r="I224" s="35"/>
    </row>
    <row r="225" spans="3:9" ht="14.25" customHeight="1" x14ac:dyDescent="0.35">
      <c r="C225" s="35">
        <v>840.08</v>
      </c>
      <c r="D225" s="35">
        <v>19.21</v>
      </c>
      <c r="E225" s="35">
        <v>29.77</v>
      </c>
      <c r="F225" s="35">
        <f t="shared" si="12"/>
        <v>30.544000700000005</v>
      </c>
      <c r="G225" s="35">
        <f t="shared" si="13"/>
        <v>0.77400070000000554</v>
      </c>
      <c r="H225" s="35">
        <f t="shared" si="14"/>
        <v>0.59907708360049861</v>
      </c>
      <c r="I225" s="35"/>
    </row>
    <row r="226" spans="3:9" ht="14.25" customHeight="1" x14ac:dyDescent="0.35">
      <c r="C226" s="35">
        <v>595.80999999999995</v>
      </c>
      <c r="D226" s="35">
        <v>24.13</v>
      </c>
      <c r="E226" s="35">
        <v>16.329999999999998</v>
      </c>
      <c r="F226" s="35">
        <f t="shared" si="12"/>
        <v>14.3591257</v>
      </c>
      <c r="G226" s="35">
        <f t="shared" si="13"/>
        <v>1.9708742999999984</v>
      </c>
      <c r="H226" s="35">
        <f t="shared" si="14"/>
        <v>3.8843455064004839</v>
      </c>
      <c r="I226" s="35"/>
    </row>
    <row r="227" spans="3:9" ht="14.25" customHeight="1" x14ac:dyDescent="0.35">
      <c r="C227" s="35">
        <v>740.48</v>
      </c>
      <c r="D227" s="35">
        <v>25.11</v>
      </c>
      <c r="E227" s="35">
        <v>19.64</v>
      </c>
      <c r="F227" s="35">
        <f t="shared" si="12"/>
        <v>19.251109700000004</v>
      </c>
      <c r="G227" s="35">
        <f t="shared" si="13"/>
        <v>0.38889029999999636</v>
      </c>
      <c r="H227" s="35">
        <f t="shared" si="14"/>
        <v>0.15123566543408717</v>
      </c>
      <c r="I227" s="35"/>
    </row>
    <row r="228" spans="3:9" ht="14.25" customHeight="1" x14ac:dyDescent="0.35">
      <c r="C228" s="35">
        <v>727.1</v>
      </c>
      <c r="D228" s="35">
        <v>21.08</v>
      </c>
      <c r="E228" s="35">
        <v>24.38</v>
      </c>
      <c r="F228" s="35">
        <f t="shared" si="12"/>
        <v>23.547058400000008</v>
      </c>
      <c r="G228" s="35">
        <f t="shared" si="13"/>
        <v>0.83294159999999096</v>
      </c>
      <c r="H228" s="35">
        <f t="shared" si="14"/>
        <v>0.69379170901054499</v>
      </c>
      <c r="I228" s="35"/>
    </row>
    <row r="229" spans="3:9" ht="14.25" customHeight="1" x14ac:dyDescent="0.35">
      <c r="C229" s="35">
        <v>710.29</v>
      </c>
      <c r="D229" s="35">
        <v>26.86</v>
      </c>
      <c r="E229" s="35">
        <v>17.940000000000001</v>
      </c>
      <c r="F229" s="35">
        <f t="shared" si="12"/>
        <v>15.874336</v>
      </c>
      <c r="G229" s="35">
        <f t="shared" si="13"/>
        <v>2.0656640000000017</v>
      </c>
      <c r="H229" s="35">
        <f t="shared" si="14"/>
        <v>4.2669677608960068</v>
      </c>
      <c r="I229" s="35"/>
    </row>
    <row r="230" spans="3:9" ht="14.25" customHeight="1" x14ac:dyDescent="0.35">
      <c r="C230" s="35">
        <v>615.85</v>
      </c>
      <c r="D230" s="35">
        <v>27.09</v>
      </c>
      <c r="E230" s="35">
        <v>13.84</v>
      </c>
      <c r="F230" s="35">
        <f t="shared" si="12"/>
        <v>11.6325097</v>
      </c>
      <c r="G230" s="35">
        <f t="shared" si="13"/>
        <v>2.2074902999999999</v>
      </c>
      <c r="H230" s="35">
        <f t="shared" si="14"/>
        <v>4.8730134245940899</v>
      </c>
      <c r="I230" s="35"/>
    </row>
    <row r="231" spans="3:9" ht="14.25" customHeight="1" x14ac:dyDescent="0.35">
      <c r="C231" s="35">
        <v>790.43</v>
      </c>
      <c r="D231" s="35">
        <v>23.39</v>
      </c>
      <c r="E231" s="35">
        <v>23.03</v>
      </c>
      <c r="F231" s="35">
        <f t="shared" si="12"/>
        <v>23.421247099999999</v>
      </c>
      <c r="G231" s="35">
        <f t="shared" si="13"/>
        <v>0.39124709999999752</v>
      </c>
      <c r="H231" s="35">
        <f t="shared" si="14"/>
        <v>0.15307429325840805</v>
      </c>
      <c r="I231" s="35"/>
    </row>
    <row r="232" spans="3:9" ht="14.25" customHeight="1" x14ac:dyDescent="0.35">
      <c r="C232" s="35">
        <v>813.68</v>
      </c>
      <c r="D232" s="35">
        <v>30.53</v>
      </c>
      <c r="E232" s="35">
        <v>15.12</v>
      </c>
      <c r="F232" s="35">
        <f t="shared" si="12"/>
        <v>15.790940300000003</v>
      </c>
      <c r="G232" s="35">
        <f t="shared" si="13"/>
        <v>0.67094030000000338</v>
      </c>
      <c r="H232" s="35">
        <f t="shared" si="14"/>
        <v>0.45016088616409455</v>
      </c>
      <c r="I232" s="35"/>
    </row>
    <row r="233" spans="3:9" ht="14.25" customHeight="1" x14ac:dyDescent="0.35">
      <c r="C233" s="35">
        <v>1042.43</v>
      </c>
      <c r="D233" s="35">
        <v>20.72</v>
      </c>
      <c r="E233" s="35">
        <v>37.26</v>
      </c>
      <c r="F233" s="35">
        <f t="shared" si="12"/>
        <v>37.218545000000006</v>
      </c>
      <c r="G233" s="35">
        <f t="shared" si="13"/>
        <v>4.1454999999992026E-2</v>
      </c>
      <c r="H233" s="35">
        <f t="shared" si="14"/>
        <v>1.7185170249993389E-3</v>
      </c>
      <c r="I233" s="35"/>
    </row>
    <row r="234" spans="3:9" ht="14.25" customHeight="1" x14ac:dyDescent="0.35">
      <c r="C234" s="35">
        <v>1057.47</v>
      </c>
      <c r="D234" s="35">
        <v>21.27</v>
      </c>
      <c r="E234" s="35">
        <v>36.57</v>
      </c>
      <c r="F234" s="35">
        <f t="shared" si="12"/>
        <v>37.186970700000003</v>
      </c>
      <c r="G234" s="35">
        <f t="shared" si="13"/>
        <v>0.61697070000000309</v>
      </c>
      <c r="H234" s="35">
        <f t="shared" si="14"/>
        <v>0.38065284465849381</v>
      </c>
      <c r="I234" s="35"/>
    </row>
    <row r="235" spans="3:9" ht="14.25" customHeight="1" x14ac:dyDescent="0.35">
      <c r="C235" s="35">
        <v>865.67</v>
      </c>
      <c r="D235" s="35">
        <v>24.03</v>
      </c>
      <c r="E235" s="35">
        <v>22.95</v>
      </c>
      <c r="F235" s="35">
        <f t="shared" si="12"/>
        <v>25.808385499999996</v>
      </c>
      <c r="G235" s="35">
        <f t="shared" si="13"/>
        <v>2.8583854999999971</v>
      </c>
      <c r="H235" s="35">
        <f t="shared" si="14"/>
        <v>8.1703676666102343</v>
      </c>
      <c r="I235" s="35"/>
    </row>
    <row r="236" spans="3:9" ht="14.25" customHeight="1" x14ac:dyDescent="0.35">
      <c r="C236" s="35">
        <v>822.44</v>
      </c>
      <c r="D236" s="35">
        <v>24.43</v>
      </c>
      <c r="E236" s="35">
        <v>25.49</v>
      </c>
      <c r="F236" s="35">
        <f t="shared" si="12"/>
        <v>23.511442100000007</v>
      </c>
      <c r="G236" s="35">
        <f t="shared" si="13"/>
        <v>1.9785578999999913</v>
      </c>
      <c r="H236" s="35">
        <f t="shared" si="14"/>
        <v>3.9146913636523757</v>
      </c>
      <c r="I236" s="35"/>
    </row>
    <row r="237" spans="3:9" ht="14.25" customHeight="1" x14ac:dyDescent="0.35">
      <c r="C237" s="35">
        <v>1044.75</v>
      </c>
      <c r="D237" s="35">
        <v>21.51</v>
      </c>
      <c r="E237" s="35">
        <v>36.01</v>
      </c>
      <c r="F237" s="35">
        <f t="shared" si="12"/>
        <v>36.363696300000001</v>
      </c>
      <c r="G237" s="35">
        <f t="shared" si="13"/>
        <v>0.35369630000000285</v>
      </c>
      <c r="H237" s="35">
        <f t="shared" si="14"/>
        <v>0.12510107263369202</v>
      </c>
      <c r="I237" s="35"/>
    </row>
    <row r="238" spans="3:9" ht="14.25" customHeight="1" x14ac:dyDescent="0.35">
      <c r="C238" s="35">
        <v>1121.0999999999999</v>
      </c>
      <c r="D238" s="35">
        <v>33.619999999999997</v>
      </c>
      <c r="E238" s="35">
        <v>25.61</v>
      </c>
      <c r="F238" s="35">
        <f t="shared" si="12"/>
        <v>24.971838599999991</v>
      </c>
      <c r="G238" s="35">
        <f t="shared" si="13"/>
        <v>0.63816140000000843</v>
      </c>
      <c r="H238" s="35">
        <f t="shared" si="14"/>
        <v>0.40724997244997074</v>
      </c>
      <c r="I238" s="35"/>
    </row>
    <row r="239" spans="3:9" ht="14.25" customHeight="1" x14ac:dyDescent="0.35">
      <c r="C239" s="35">
        <v>972.44</v>
      </c>
      <c r="D239" s="35">
        <v>32.08</v>
      </c>
      <c r="E239" s="35">
        <v>18.649999999999999</v>
      </c>
      <c r="F239" s="35">
        <f t="shared" si="12"/>
        <v>20.587361600000001</v>
      </c>
      <c r="G239" s="35">
        <f t="shared" si="13"/>
        <v>1.9373616000000027</v>
      </c>
      <c r="H239" s="35">
        <f t="shared" si="14"/>
        <v>3.7533699691545706</v>
      </c>
      <c r="I239" s="35"/>
    </row>
    <row r="240" spans="3:9" ht="14.25" customHeight="1" x14ac:dyDescent="0.35">
      <c r="C240" s="35">
        <v>1060.3399999999999</v>
      </c>
      <c r="D240" s="35">
        <v>19.82</v>
      </c>
      <c r="E240" s="35">
        <v>40.57</v>
      </c>
      <c r="F240" s="35">
        <f t="shared" si="12"/>
        <v>39.055239799999995</v>
      </c>
      <c r="G240" s="35">
        <f t="shared" si="13"/>
        <v>1.5147602000000049</v>
      </c>
      <c r="H240" s="35">
        <f t="shared" si="14"/>
        <v>2.2944984635040546</v>
      </c>
      <c r="I240" s="35"/>
    </row>
    <row r="241" spans="3:9" ht="14.25" customHeight="1" x14ac:dyDescent="0.35">
      <c r="C241" s="35">
        <v>1157.3800000000001</v>
      </c>
      <c r="D241" s="35">
        <v>24.28</v>
      </c>
      <c r="E241" s="35">
        <v>36.28</v>
      </c>
      <c r="F241" s="35">
        <f t="shared" si="12"/>
        <v>37.75302880000001</v>
      </c>
      <c r="G241" s="35">
        <f t="shared" si="13"/>
        <v>1.4730288000000087</v>
      </c>
      <c r="H241" s="35">
        <f t="shared" si="14"/>
        <v>2.1698138456294656</v>
      </c>
      <c r="I241" s="35"/>
    </row>
    <row r="242" spans="3:9" ht="14.25" customHeight="1" x14ac:dyDescent="0.35">
      <c r="C242" s="35">
        <v>528.46</v>
      </c>
      <c r="D242" s="35">
        <v>21.96</v>
      </c>
      <c r="E242" s="35">
        <v>14.63</v>
      </c>
      <c r="F242" s="35">
        <f t="shared" si="12"/>
        <v>14.147425600000002</v>
      </c>
      <c r="G242" s="35">
        <f t="shared" si="13"/>
        <v>0.48257439999999896</v>
      </c>
      <c r="H242" s="35">
        <f t="shared" si="14"/>
        <v>0.23287805153535901</v>
      </c>
      <c r="I242" s="35"/>
    </row>
    <row r="243" spans="3:9" ht="14.25" customHeight="1" x14ac:dyDescent="0.35">
      <c r="C243" s="35">
        <v>1112.97</v>
      </c>
      <c r="D243" s="35">
        <v>25.67</v>
      </c>
      <c r="E243" s="35">
        <v>31.61</v>
      </c>
      <c r="F243" s="35">
        <f t="shared" si="12"/>
        <v>34.213232700000006</v>
      </c>
      <c r="G243" s="35">
        <f t="shared" si="13"/>
        <v>2.6032327000000066</v>
      </c>
      <c r="H243" s="35">
        <f t="shared" si="14"/>
        <v>6.7768204903493245</v>
      </c>
      <c r="I243" s="35"/>
    </row>
    <row r="244" spans="3:9" ht="14.25" customHeight="1" x14ac:dyDescent="0.35">
      <c r="C244" s="35">
        <v>693.59</v>
      </c>
      <c r="D244" s="35">
        <v>22.7</v>
      </c>
      <c r="E244" s="35">
        <v>20.260000000000002</v>
      </c>
      <c r="F244" s="35">
        <f t="shared" si="12"/>
        <v>20.187609200000004</v>
      </c>
      <c r="G244" s="35">
        <f t="shared" si="13"/>
        <v>7.2390799999997313E-2</v>
      </c>
      <c r="H244" s="35">
        <f t="shared" si="14"/>
        <v>5.2404279246396112E-3</v>
      </c>
      <c r="I244" s="35"/>
    </row>
    <row r="245" spans="3:9" ht="14.25" customHeight="1" x14ac:dyDescent="0.35">
      <c r="C245" s="35">
        <v>833.04</v>
      </c>
      <c r="D245" s="35">
        <v>26.53</v>
      </c>
      <c r="E245" s="35">
        <v>21.14</v>
      </c>
      <c r="F245" s="35">
        <f t="shared" si="12"/>
        <v>21.425153099999999</v>
      </c>
      <c r="G245" s="35">
        <f t="shared" si="13"/>
        <v>0.28515309999999872</v>
      </c>
      <c r="H245" s="35">
        <f t="shared" si="14"/>
        <v>8.1312290439609261E-2</v>
      </c>
      <c r="I245" s="35"/>
    </row>
    <row r="246" spans="3:9" ht="14.25" customHeight="1" x14ac:dyDescent="0.35">
      <c r="C246" s="35">
        <v>1057.73</v>
      </c>
      <c r="D246" s="35">
        <v>33.68</v>
      </c>
      <c r="E246" s="35">
        <v>21.61</v>
      </c>
      <c r="F246" s="35">
        <f t="shared" si="12"/>
        <v>22.239243800000004</v>
      </c>
      <c r="G246" s="35">
        <f t="shared" si="13"/>
        <v>0.62924380000000468</v>
      </c>
      <c r="H246" s="35">
        <f t="shared" si="14"/>
        <v>0.39594775983844588</v>
      </c>
      <c r="I246" s="35"/>
    </row>
    <row r="247" spans="3:9" ht="14.25" customHeight="1" x14ac:dyDescent="0.35">
      <c r="C247" s="35">
        <v>1002.07</v>
      </c>
      <c r="D247" s="35">
        <v>24.5</v>
      </c>
      <c r="E247" s="35">
        <v>31.34</v>
      </c>
      <c r="F247" s="35">
        <f t="shared" si="12"/>
        <v>30.967933600000009</v>
      </c>
      <c r="G247" s="35">
        <f t="shared" si="13"/>
        <v>0.37206639999999069</v>
      </c>
      <c r="H247" s="35">
        <f t="shared" si="14"/>
        <v>0.13843340600895307</v>
      </c>
      <c r="I247" s="35"/>
    </row>
    <row r="248" spans="3:9" ht="14.25" customHeight="1" x14ac:dyDescent="0.35">
      <c r="C248" s="35">
        <v>603</v>
      </c>
      <c r="D248" s="35">
        <v>29.05</v>
      </c>
      <c r="E248" s="35">
        <v>9.35</v>
      </c>
      <c r="F248" s="35">
        <f t="shared" si="12"/>
        <v>8.7305415000000011</v>
      </c>
      <c r="G248" s="35">
        <f t="shared" si="13"/>
        <v>0.61945849999999858</v>
      </c>
      <c r="H248" s="35">
        <f t="shared" si="14"/>
        <v>0.38372883322224827</v>
      </c>
      <c r="I248" s="35"/>
    </row>
    <row r="249" spans="3:9" ht="14.25" customHeight="1" x14ac:dyDescent="0.35">
      <c r="C249" s="35">
        <v>961.12</v>
      </c>
      <c r="D249" s="35">
        <v>28.13</v>
      </c>
      <c r="E249" s="35">
        <v>26.16</v>
      </c>
      <c r="F249" s="35">
        <f t="shared" si="12"/>
        <v>24.873359500000007</v>
      </c>
      <c r="G249" s="35">
        <f t="shared" si="13"/>
        <v>1.2866404999999936</v>
      </c>
      <c r="H249" s="35">
        <f t="shared" si="14"/>
        <v>1.6554437762402336</v>
      </c>
      <c r="I249" s="35"/>
    </row>
    <row r="250" spans="3:9" ht="14.25" customHeight="1" x14ac:dyDescent="0.35"/>
    <row r="251" spans="3:9" ht="14.25" customHeight="1" x14ac:dyDescent="0.35"/>
    <row r="252" spans="3:9" ht="14.25" customHeight="1" x14ac:dyDescent="0.35"/>
    <row r="253" spans="3:9" ht="14.25" customHeight="1" x14ac:dyDescent="0.35"/>
    <row r="254" spans="3:9" ht="14.25" customHeight="1" x14ac:dyDescent="0.35"/>
    <row r="255" spans="3:9" ht="14.25" customHeight="1" x14ac:dyDescent="0.35"/>
    <row r="256" spans="3:9"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4">
    <mergeCell ref="H6:H8"/>
    <mergeCell ref="I6:I8"/>
    <mergeCell ref="I9:I10"/>
    <mergeCell ref="A17:E24"/>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000"/>
  <sheetViews>
    <sheetView topLeftCell="A136" workbookViewId="0">
      <selection activeCell="G38" sqref="G38"/>
    </sheetView>
  </sheetViews>
  <sheetFormatPr defaultColWidth="12.6328125" defaultRowHeight="15" customHeight="1" x14ac:dyDescent="0.35"/>
  <cols>
    <col min="1" max="1" width="8.6328125" customWidth="1"/>
    <col min="2" max="2" width="11.453125" customWidth="1"/>
    <col min="3" max="3" width="14.90625" customWidth="1"/>
    <col min="4" max="4" width="14.26953125" customWidth="1"/>
    <col min="5" max="5" width="14.453125" customWidth="1"/>
    <col min="6" max="6" width="13.08984375" customWidth="1"/>
    <col min="7" max="7" width="14.453125" customWidth="1"/>
    <col min="8" max="8" width="16.7265625" customWidth="1"/>
    <col min="9" max="9" width="19.6328125" customWidth="1"/>
    <col min="10" max="10" width="22.08984375" customWidth="1"/>
    <col min="11" max="11" width="16.08984375" customWidth="1"/>
    <col min="12" max="12" width="15.90625" customWidth="1"/>
    <col min="13" max="13" width="13.36328125" customWidth="1"/>
    <col min="14" max="14" width="14" customWidth="1"/>
    <col min="15" max="15" width="10.7265625" customWidth="1"/>
    <col min="16" max="26" width="8.6328125" customWidth="1"/>
  </cols>
  <sheetData>
    <row r="1" spans="1:14" ht="14.25" customHeight="1" x14ac:dyDescent="0.35"/>
    <row r="2" spans="1:14" ht="14.25" customHeight="1" x14ac:dyDescent="0.35">
      <c r="B2" s="9" t="s">
        <v>11</v>
      </c>
    </row>
    <row r="3" spans="1:14" ht="14.25" customHeight="1" x14ac:dyDescent="0.35"/>
    <row r="4" spans="1:14" ht="14.25" customHeight="1" x14ac:dyDescent="0.35"/>
    <row r="5" spans="1:14" ht="14.25" customHeight="1" x14ac:dyDescent="0.35">
      <c r="A5" s="25" t="s">
        <v>0</v>
      </c>
      <c r="B5" s="25" t="s">
        <v>1</v>
      </c>
      <c r="C5" s="25" t="s">
        <v>2</v>
      </c>
      <c r="D5" s="26" t="s">
        <v>12</v>
      </c>
      <c r="E5" s="27" t="s">
        <v>13</v>
      </c>
      <c r="F5" s="25" t="s">
        <v>117</v>
      </c>
      <c r="G5" s="25" t="s">
        <v>118</v>
      </c>
      <c r="H5" s="25" t="s">
        <v>119</v>
      </c>
      <c r="I5" s="25" t="s">
        <v>120</v>
      </c>
      <c r="J5" s="25" t="s">
        <v>121</v>
      </c>
      <c r="K5" s="25" t="s">
        <v>122</v>
      </c>
      <c r="L5" s="25" t="s">
        <v>123</v>
      </c>
      <c r="M5" s="25" t="s">
        <v>124</v>
      </c>
      <c r="N5" s="25" t="s">
        <v>125</v>
      </c>
    </row>
    <row r="6" spans="1:14" ht="14.25" customHeight="1" x14ac:dyDescent="0.35">
      <c r="A6" s="28">
        <v>8</v>
      </c>
      <c r="B6" s="28">
        <v>650</v>
      </c>
      <c r="C6" s="28">
        <v>29</v>
      </c>
      <c r="D6" s="30">
        <v>3.9</v>
      </c>
      <c r="E6" s="31">
        <f t="shared" ref="E6:E8" si="0">0.002*B6-0.05*C6+1.5</f>
        <v>1.3499999999999999</v>
      </c>
      <c r="F6" s="55">
        <f>AVERAGE(D6:D8)</f>
        <v>4.4333333333333336</v>
      </c>
      <c r="G6" s="28">
        <f t="shared" ref="G6:G8" si="1">E6-D6</f>
        <v>-2.5499999999999998</v>
      </c>
      <c r="H6" s="28">
        <f t="shared" ref="H6:H8" si="2">G6*G6</f>
        <v>6.5024999999999995</v>
      </c>
      <c r="I6" s="55">
        <f>SUM(H6:H8)</f>
        <v>21.707499999999996</v>
      </c>
      <c r="J6" s="28">
        <f>D6-F6</f>
        <v>-0.53333333333333366</v>
      </c>
      <c r="K6" s="36">
        <f t="shared" ref="K6:K8" si="3">J6*J6</f>
        <v>0.28444444444444478</v>
      </c>
      <c r="L6" s="55">
        <f>SUM(K6:K8)</f>
        <v>1.1466666666666667</v>
      </c>
      <c r="M6" s="55">
        <f>I6/L6</f>
        <v>18.930959302325576</v>
      </c>
      <c r="N6" s="55">
        <f>1-M6</f>
        <v>-17.930959302325576</v>
      </c>
    </row>
    <row r="7" spans="1:14" ht="14.25" customHeight="1" x14ac:dyDescent="0.35">
      <c r="A7" s="28">
        <v>9</v>
      </c>
      <c r="B7" s="28">
        <v>700</v>
      </c>
      <c r="C7" s="28">
        <v>27</v>
      </c>
      <c r="D7" s="30">
        <v>4.0999999999999996</v>
      </c>
      <c r="E7" s="31">
        <f t="shared" si="0"/>
        <v>1.55</v>
      </c>
      <c r="F7" s="38"/>
      <c r="G7" s="28">
        <f t="shared" si="1"/>
        <v>-2.5499999999999998</v>
      </c>
      <c r="H7" s="28">
        <f t="shared" si="2"/>
        <v>6.5024999999999995</v>
      </c>
      <c r="I7" s="38"/>
      <c r="J7" s="28">
        <f>D7-F6</f>
        <v>-0.33333333333333393</v>
      </c>
      <c r="K7" s="36">
        <f t="shared" si="3"/>
        <v>0.11111111111111151</v>
      </c>
      <c r="L7" s="38"/>
      <c r="M7" s="38"/>
      <c r="N7" s="38"/>
    </row>
    <row r="8" spans="1:14" ht="14.25" customHeight="1" x14ac:dyDescent="0.35">
      <c r="A8" s="28">
        <v>10</v>
      </c>
      <c r="B8" s="28">
        <v>950</v>
      </c>
      <c r="C8" s="28">
        <v>21</v>
      </c>
      <c r="D8" s="30">
        <v>5.3</v>
      </c>
      <c r="E8" s="31">
        <f t="shared" si="0"/>
        <v>2.35</v>
      </c>
      <c r="F8" s="39"/>
      <c r="G8" s="28">
        <f t="shared" si="1"/>
        <v>-2.9499999999999997</v>
      </c>
      <c r="H8" s="28">
        <f t="shared" si="2"/>
        <v>8.7024999999999988</v>
      </c>
      <c r="I8" s="39"/>
      <c r="J8" s="28">
        <f>D8-F6</f>
        <v>0.86666666666666625</v>
      </c>
      <c r="K8" s="36">
        <f t="shared" si="3"/>
        <v>0.7511111111111104</v>
      </c>
      <c r="L8" s="39"/>
      <c r="M8" s="39"/>
      <c r="N8" s="39"/>
    </row>
    <row r="9" spans="1:14" ht="14.25" customHeight="1" x14ac:dyDescent="0.35"/>
    <row r="10" spans="1:14" ht="14.25" customHeight="1" x14ac:dyDescent="0.35"/>
    <row r="11" spans="1:14" ht="14.25" customHeight="1" x14ac:dyDescent="0.35"/>
    <row r="12" spans="1:14" ht="14.25" customHeight="1" x14ac:dyDescent="0.35">
      <c r="I12" s="18" t="s">
        <v>126</v>
      </c>
    </row>
    <row r="13" spans="1:14" ht="14.25" customHeight="1" x14ac:dyDescent="0.35">
      <c r="I13" s="18" t="s">
        <v>127</v>
      </c>
    </row>
    <row r="14" spans="1:14" ht="14.25" customHeight="1" x14ac:dyDescent="0.35">
      <c r="I14" s="18" t="s">
        <v>128</v>
      </c>
    </row>
    <row r="15" spans="1:14" ht="14.25" customHeight="1" x14ac:dyDescent="0.35"/>
    <row r="16" spans="1:14" ht="14.25" customHeight="1" x14ac:dyDescent="0.35"/>
    <row r="17" spans="1:14" ht="14.25" customHeight="1" x14ac:dyDescent="0.35">
      <c r="A17" s="53"/>
      <c r="B17" s="44"/>
      <c r="C17" s="44"/>
      <c r="D17" s="44"/>
      <c r="E17" s="44"/>
    </row>
    <row r="18" spans="1:14" ht="14.25" customHeight="1" x14ac:dyDescent="0.35">
      <c r="A18" s="44"/>
      <c r="B18" s="44"/>
      <c r="C18" s="44"/>
      <c r="D18" s="44"/>
      <c r="E18" s="44"/>
    </row>
    <row r="19" spans="1:14" ht="14.25" customHeight="1" x14ac:dyDescent="0.35">
      <c r="A19" s="44"/>
      <c r="B19" s="44"/>
      <c r="C19" s="44"/>
      <c r="D19" s="44"/>
      <c r="E19" s="44"/>
    </row>
    <row r="20" spans="1:14" ht="14.25" customHeight="1" x14ac:dyDescent="0.35">
      <c r="A20" s="44"/>
      <c r="B20" s="44"/>
      <c r="C20" s="44"/>
      <c r="D20" s="44"/>
      <c r="E20" s="44"/>
    </row>
    <row r="21" spans="1:14" ht="14.25" customHeight="1" x14ac:dyDescent="0.35">
      <c r="A21" s="44"/>
      <c r="B21" s="44"/>
      <c r="C21" s="44"/>
      <c r="D21" s="44"/>
      <c r="E21" s="44"/>
    </row>
    <row r="22" spans="1:14" ht="14.25" customHeight="1" x14ac:dyDescent="0.35">
      <c r="A22" s="44"/>
      <c r="B22" s="44"/>
      <c r="C22" s="44"/>
      <c r="D22" s="44"/>
      <c r="E22" s="44"/>
    </row>
    <row r="23" spans="1:14" ht="14.25" customHeight="1" x14ac:dyDescent="0.35">
      <c r="A23" s="44"/>
      <c r="B23" s="44"/>
      <c r="C23" s="44"/>
      <c r="D23" s="44"/>
      <c r="E23" s="44"/>
    </row>
    <row r="24" spans="1:14" ht="14.25" customHeight="1" x14ac:dyDescent="0.35">
      <c r="A24" s="44"/>
      <c r="B24" s="44"/>
      <c r="C24" s="44"/>
      <c r="D24" s="44"/>
      <c r="E24" s="44"/>
    </row>
    <row r="25" spans="1:14" ht="14.25" customHeight="1" x14ac:dyDescent="0.35"/>
    <row r="26" spans="1:14" ht="14.25" customHeight="1" x14ac:dyDescent="0.35"/>
    <row r="27" spans="1:14" ht="14.25" customHeight="1" x14ac:dyDescent="0.35"/>
    <row r="28" spans="1:14" ht="14.25" customHeight="1" x14ac:dyDescent="0.35">
      <c r="B28" s="21" t="s">
        <v>44</v>
      </c>
    </row>
    <row r="29" spans="1:14" ht="14.25" customHeight="1" x14ac:dyDescent="0.35"/>
    <row r="30" spans="1:14" ht="14.25" customHeight="1" x14ac:dyDescent="0.35">
      <c r="B30" s="21" t="s">
        <v>45</v>
      </c>
      <c r="C30" s="21" t="s">
        <v>46</v>
      </c>
      <c r="D30" s="21" t="s">
        <v>47</v>
      </c>
      <c r="E30" s="21" t="s">
        <v>48</v>
      </c>
      <c r="F30" s="21" t="s">
        <v>129</v>
      </c>
      <c r="G30" s="21" t="s">
        <v>130</v>
      </c>
      <c r="H30" s="21" t="s">
        <v>131</v>
      </c>
      <c r="I30" s="21" t="s">
        <v>132</v>
      </c>
      <c r="J30" s="21" t="s">
        <v>133</v>
      </c>
      <c r="K30" s="21" t="s">
        <v>134</v>
      </c>
      <c r="L30" s="21" t="s">
        <v>135</v>
      </c>
      <c r="M30" s="21" t="s">
        <v>124</v>
      </c>
      <c r="N30" s="21" t="s">
        <v>125</v>
      </c>
    </row>
    <row r="31" spans="1:14" ht="14.25" customHeight="1" x14ac:dyDescent="0.35">
      <c r="B31" s="18">
        <v>615.85</v>
      </c>
      <c r="C31" s="18">
        <v>27.09</v>
      </c>
      <c r="D31" s="18">
        <v>13.84</v>
      </c>
      <c r="E31" s="18">
        <f t="shared" ref="E31:E50" si="4">19.1765 + 0.04017*B31 - 1.17406*C31</f>
        <v>12.109909099999996</v>
      </c>
      <c r="F31" s="18">
        <f>AVERAGE(D31:D50)</f>
        <v>25.374000000000002</v>
      </c>
      <c r="G31" s="18">
        <f t="shared" ref="G31:G50" si="5">E31-D31</f>
        <v>-1.730090900000004</v>
      </c>
      <c r="H31" s="18">
        <f t="shared" ref="H31:H50" si="6">G31*G31</f>
        <v>2.9932145222628237</v>
      </c>
      <c r="I31" s="18">
        <f>SUM(H31:H50)</f>
        <v>32.829521595919523</v>
      </c>
      <c r="J31" s="18">
        <f t="shared" ref="J31:J50" si="7">D31-$F$31</f>
        <v>-11.534000000000002</v>
      </c>
      <c r="K31" s="18">
        <f t="shared" ref="K31:K50" si="8">J31*J31</f>
        <v>133.03315600000005</v>
      </c>
      <c r="L31" s="18">
        <f>SUM(K31:K50)</f>
        <v>1529.98848</v>
      </c>
      <c r="M31" s="18">
        <f>I31/L31</f>
        <v>2.1457365218801858E-2</v>
      </c>
      <c r="N31" s="18">
        <f>1-M31</f>
        <v>0.97854263478119818</v>
      </c>
    </row>
    <row r="32" spans="1:14" ht="14.25" customHeight="1" x14ac:dyDescent="0.35">
      <c r="B32" s="18">
        <v>790.43</v>
      </c>
      <c r="C32" s="18">
        <v>23.39</v>
      </c>
      <c r="D32" s="18">
        <v>23.03</v>
      </c>
      <c r="E32" s="18">
        <f t="shared" si="4"/>
        <v>23.466809699999988</v>
      </c>
      <c r="G32" s="18">
        <f t="shared" si="5"/>
        <v>0.43680969999998709</v>
      </c>
      <c r="H32" s="18">
        <f t="shared" si="6"/>
        <v>0.19080271401407872</v>
      </c>
      <c r="J32" s="18">
        <f t="shared" si="7"/>
        <v>-2.3440000000000012</v>
      </c>
      <c r="K32" s="18">
        <f t="shared" si="8"/>
        <v>5.4943360000000059</v>
      </c>
    </row>
    <row r="33" spans="2:11" ht="14.25" customHeight="1" x14ac:dyDescent="0.35">
      <c r="B33" s="18">
        <v>813.68</v>
      </c>
      <c r="C33" s="18">
        <v>30.53</v>
      </c>
      <c r="D33" s="18">
        <v>15.12</v>
      </c>
      <c r="E33" s="18">
        <f t="shared" si="4"/>
        <v>16.017973799999993</v>
      </c>
      <c r="G33" s="18">
        <f t="shared" si="5"/>
        <v>0.89797379999999372</v>
      </c>
      <c r="H33" s="18">
        <f t="shared" si="6"/>
        <v>0.80635694548642867</v>
      </c>
      <c r="J33" s="18">
        <f t="shared" si="7"/>
        <v>-10.254000000000003</v>
      </c>
      <c r="K33" s="18">
        <f t="shared" si="8"/>
        <v>105.14451600000007</v>
      </c>
    </row>
    <row r="34" spans="2:11" ht="14.25" customHeight="1" x14ac:dyDescent="0.35">
      <c r="B34" s="18">
        <v>1042.43</v>
      </c>
      <c r="C34" s="18">
        <v>20.72</v>
      </c>
      <c r="D34" s="18">
        <v>37.26</v>
      </c>
      <c r="E34" s="18">
        <f t="shared" si="4"/>
        <v>36.724389900000006</v>
      </c>
      <c r="G34" s="18">
        <f t="shared" si="5"/>
        <v>-0.53561009999999243</v>
      </c>
      <c r="H34" s="18">
        <f t="shared" si="6"/>
        <v>0.28687817922200187</v>
      </c>
      <c r="J34" s="18">
        <f t="shared" si="7"/>
        <v>11.885999999999996</v>
      </c>
      <c r="K34" s="18">
        <f t="shared" si="8"/>
        <v>141.27699599999988</v>
      </c>
    </row>
    <row r="35" spans="2:11" ht="14.25" customHeight="1" x14ac:dyDescent="0.35">
      <c r="B35" s="18">
        <v>1057.47</v>
      </c>
      <c r="C35" s="18">
        <v>21.27</v>
      </c>
      <c r="D35" s="18">
        <v>36.57</v>
      </c>
      <c r="E35" s="18">
        <f t="shared" si="4"/>
        <v>36.682813699999997</v>
      </c>
      <c r="G35" s="18">
        <f t="shared" si="5"/>
        <v>0.11281369999999669</v>
      </c>
      <c r="H35" s="18">
        <f t="shared" si="6"/>
        <v>1.2726930907689253E-2</v>
      </c>
      <c r="J35" s="18">
        <f t="shared" si="7"/>
        <v>11.195999999999998</v>
      </c>
      <c r="K35" s="18">
        <f t="shared" si="8"/>
        <v>125.35041599999995</v>
      </c>
    </row>
    <row r="36" spans="2:11" ht="14.25" customHeight="1" x14ac:dyDescent="0.35">
      <c r="B36" s="18">
        <v>865.67</v>
      </c>
      <c r="C36" s="18">
        <v>24.03</v>
      </c>
      <c r="D36" s="18">
        <v>22.95</v>
      </c>
      <c r="E36" s="18">
        <f t="shared" si="4"/>
        <v>25.7378021</v>
      </c>
      <c r="G36" s="18">
        <f t="shared" si="5"/>
        <v>2.7878021000000004</v>
      </c>
      <c r="H36" s="18">
        <f t="shared" si="6"/>
        <v>7.7718405487644118</v>
      </c>
      <c r="J36" s="18">
        <f t="shared" si="7"/>
        <v>-2.424000000000003</v>
      </c>
      <c r="K36" s="18">
        <f t="shared" si="8"/>
        <v>5.8757760000000143</v>
      </c>
    </row>
    <row r="37" spans="2:11" ht="14.25" customHeight="1" x14ac:dyDescent="0.35">
      <c r="B37" s="18">
        <v>822.44</v>
      </c>
      <c r="C37" s="18">
        <v>24.43</v>
      </c>
      <c r="D37" s="18">
        <v>25.49</v>
      </c>
      <c r="E37" s="18">
        <f t="shared" si="4"/>
        <v>23.531628999999995</v>
      </c>
      <c r="G37" s="18">
        <f t="shared" si="5"/>
        <v>-1.9583710000000032</v>
      </c>
      <c r="H37" s="18">
        <f t="shared" si="6"/>
        <v>3.8352169736410127</v>
      </c>
      <c r="J37" s="18">
        <f t="shared" si="7"/>
        <v>0.11599999999999611</v>
      </c>
      <c r="K37" s="18">
        <f t="shared" si="8"/>
        <v>1.3455999999999097E-2</v>
      </c>
    </row>
    <row r="38" spans="2:11" ht="14.25" customHeight="1" x14ac:dyDescent="0.35">
      <c r="B38" s="18">
        <v>1044.75</v>
      </c>
      <c r="C38" s="18">
        <v>21.51</v>
      </c>
      <c r="D38" s="18">
        <v>36.01</v>
      </c>
      <c r="E38" s="18">
        <f t="shared" si="4"/>
        <v>35.890076899999997</v>
      </c>
      <c r="G38" s="18">
        <f t="shared" si="5"/>
        <v>-0.11992310000000117</v>
      </c>
      <c r="H38" s="18">
        <f t="shared" si="6"/>
        <v>1.438154991361028E-2</v>
      </c>
      <c r="J38" s="18">
        <f t="shared" si="7"/>
        <v>10.635999999999996</v>
      </c>
      <c r="K38" s="18">
        <f t="shared" si="8"/>
        <v>113.12449599999991</v>
      </c>
    </row>
    <row r="39" spans="2:11" ht="14.25" customHeight="1" x14ac:dyDescent="0.35">
      <c r="B39" s="18">
        <v>1121.0999999999999</v>
      </c>
      <c r="C39" s="18">
        <v>33.619999999999997</v>
      </c>
      <c r="D39" s="18">
        <v>25.61</v>
      </c>
      <c r="E39" s="18">
        <f t="shared" si="4"/>
        <v>24.739189799999991</v>
      </c>
      <c r="G39" s="18">
        <f t="shared" si="5"/>
        <v>-0.87081020000000819</v>
      </c>
      <c r="H39" s="18">
        <f t="shared" si="6"/>
        <v>0.75831040442405429</v>
      </c>
      <c r="J39" s="18">
        <f t="shared" si="7"/>
        <v>0.2359999999999971</v>
      </c>
      <c r="K39" s="18">
        <f t="shared" si="8"/>
        <v>5.5695999999998629E-2</v>
      </c>
    </row>
    <row r="40" spans="2:11" ht="14.25" customHeight="1" x14ac:dyDescent="0.35">
      <c r="B40" s="18">
        <v>972.44</v>
      </c>
      <c r="C40" s="18">
        <v>32.08</v>
      </c>
      <c r="D40" s="18">
        <v>18.649999999999999</v>
      </c>
      <c r="E40" s="18">
        <f t="shared" si="4"/>
        <v>20.575570000000006</v>
      </c>
      <c r="G40" s="18">
        <f t="shared" si="5"/>
        <v>1.9255700000000076</v>
      </c>
      <c r="H40" s="18">
        <f t="shared" si="6"/>
        <v>3.7078198249000289</v>
      </c>
      <c r="J40" s="18">
        <f t="shared" si="7"/>
        <v>-6.7240000000000038</v>
      </c>
      <c r="K40" s="18">
        <f t="shared" si="8"/>
        <v>45.212176000000049</v>
      </c>
    </row>
    <row r="41" spans="2:11" ht="14.25" customHeight="1" x14ac:dyDescent="0.35">
      <c r="B41" s="18">
        <v>1060.3399999999999</v>
      </c>
      <c r="C41" s="18">
        <v>19.82</v>
      </c>
      <c r="D41" s="18">
        <v>40.57</v>
      </c>
      <c r="E41" s="18">
        <f t="shared" si="4"/>
        <v>38.500488599999997</v>
      </c>
      <c r="G41" s="18">
        <f t="shared" si="5"/>
        <v>-2.0695114000000032</v>
      </c>
      <c r="H41" s="18">
        <f t="shared" si="6"/>
        <v>4.282877434729973</v>
      </c>
      <c r="J41" s="18">
        <f t="shared" si="7"/>
        <v>15.195999999999998</v>
      </c>
      <c r="K41" s="18">
        <f t="shared" si="8"/>
        <v>230.91841599999995</v>
      </c>
    </row>
    <row r="42" spans="2:11" ht="14.25" customHeight="1" x14ac:dyDescent="0.35">
      <c r="B42" s="18">
        <v>1157.3800000000001</v>
      </c>
      <c r="C42" s="18">
        <v>24.28</v>
      </c>
      <c r="D42" s="18">
        <v>36.28</v>
      </c>
      <c r="E42" s="18">
        <f t="shared" si="4"/>
        <v>37.162277799999998</v>
      </c>
      <c r="G42" s="18">
        <f t="shared" si="5"/>
        <v>0.88227779999999711</v>
      </c>
      <c r="H42" s="18">
        <f t="shared" si="6"/>
        <v>0.77841411637283486</v>
      </c>
      <c r="J42" s="18">
        <f t="shared" si="7"/>
        <v>10.905999999999999</v>
      </c>
      <c r="K42" s="18">
        <f t="shared" si="8"/>
        <v>118.94083599999998</v>
      </c>
    </row>
    <row r="43" spans="2:11" ht="14.25" customHeight="1" x14ac:dyDescent="0.35">
      <c r="B43" s="18">
        <v>528.46</v>
      </c>
      <c r="C43" s="18">
        <v>21.96</v>
      </c>
      <c r="D43" s="18">
        <v>14.63</v>
      </c>
      <c r="E43" s="18">
        <f t="shared" si="4"/>
        <v>14.622380599999993</v>
      </c>
      <c r="G43" s="18">
        <f t="shared" si="5"/>
        <v>-7.6194000000082696E-3</v>
      </c>
      <c r="H43" s="18">
        <f t="shared" si="6"/>
        <v>5.8055256360126018E-5</v>
      </c>
      <c r="J43" s="18">
        <f t="shared" si="7"/>
        <v>-10.744000000000002</v>
      </c>
      <c r="K43" s="18">
        <f t="shared" si="8"/>
        <v>115.43353600000003</v>
      </c>
    </row>
    <row r="44" spans="2:11" ht="14.25" customHeight="1" x14ac:dyDescent="0.35">
      <c r="B44" s="18">
        <v>1112.97</v>
      </c>
      <c r="C44" s="18">
        <v>25.67</v>
      </c>
      <c r="D44" s="18">
        <v>31.61</v>
      </c>
      <c r="E44" s="18">
        <f t="shared" si="4"/>
        <v>33.746384699999993</v>
      </c>
      <c r="G44" s="18">
        <f t="shared" si="5"/>
        <v>2.1363846999999936</v>
      </c>
      <c r="H44" s="18">
        <f t="shared" si="6"/>
        <v>4.564139586394063</v>
      </c>
      <c r="J44" s="18">
        <f t="shared" si="7"/>
        <v>6.2359999999999971</v>
      </c>
      <c r="K44" s="18">
        <f t="shared" si="8"/>
        <v>38.887695999999963</v>
      </c>
    </row>
    <row r="45" spans="2:11" ht="14.25" customHeight="1" x14ac:dyDescent="0.35">
      <c r="B45" s="18">
        <v>693.59</v>
      </c>
      <c r="C45" s="18">
        <v>22.7</v>
      </c>
      <c r="D45" s="18">
        <v>20.260000000000002</v>
      </c>
      <c r="E45" s="18">
        <f t="shared" si="4"/>
        <v>20.386848299999993</v>
      </c>
      <c r="G45" s="18">
        <f t="shared" si="5"/>
        <v>0.12684829999999181</v>
      </c>
      <c r="H45" s="18">
        <f t="shared" si="6"/>
        <v>1.6090491212887921E-2</v>
      </c>
      <c r="J45" s="18">
        <f t="shared" si="7"/>
        <v>-5.1140000000000008</v>
      </c>
      <c r="K45" s="18">
        <f t="shared" si="8"/>
        <v>26.152996000000009</v>
      </c>
    </row>
    <row r="46" spans="2:11" ht="14.25" customHeight="1" x14ac:dyDescent="0.35">
      <c r="B46" s="18">
        <v>833.04</v>
      </c>
      <c r="C46" s="18">
        <v>26.53</v>
      </c>
      <c r="D46" s="18">
        <v>21.14</v>
      </c>
      <c r="E46" s="18">
        <f t="shared" si="4"/>
        <v>21.491904999999999</v>
      </c>
      <c r="G46" s="18">
        <f t="shared" si="5"/>
        <v>0.35190499999999858</v>
      </c>
      <c r="H46" s="18">
        <f t="shared" si="6"/>
        <v>0.12383712902499901</v>
      </c>
      <c r="J46" s="18">
        <f t="shared" si="7"/>
        <v>-4.2340000000000018</v>
      </c>
      <c r="K46" s="18">
        <f t="shared" si="8"/>
        <v>17.926756000000015</v>
      </c>
    </row>
    <row r="47" spans="2:11" ht="14.25" customHeight="1" x14ac:dyDescent="0.35">
      <c r="B47" s="18">
        <v>1057.73</v>
      </c>
      <c r="C47" s="18">
        <v>33.68</v>
      </c>
      <c r="D47" s="18">
        <v>21.61</v>
      </c>
      <c r="E47" s="18">
        <f t="shared" si="4"/>
        <v>22.123173299999991</v>
      </c>
      <c r="G47" s="18">
        <f t="shared" si="5"/>
        <v>0.51317329999999117</v>
      </c>
      <c r="H47" s="18">
        <f t="shared" si="6"/>
        <v>0.26334683583288093</v>
      </c>
      <c r="J47" s="18">
        <f t="shared" si="7"/>
        <v>-3.7640000000000029</v>
      </c>
      <c r="K47" s="18">
        <f t="shared" si="8"/>
        <v>14.167696000000022</v>
      </c>
    </row>
    <row r="48" spans="2:11" ht="14.25" customHeight="1" x14ac:dyDescent="0.35">
      <c r="B48" s="18">
        <v>1002.07</v>
      </c>
      <c r="C48" s="18">
        <v>24.5</v>
      </c>
      <c r="D48" s="18">
        <v>31.34</v>
      </c>
      <c r="E48" s="18">
        <f t="shared" si="4"/>
        <v>30.665181899999993</v>
      </c>
      <c r="G48" s="18">
        <f t="shared" si="5"/>
        <v>-0.67481810000000664</v>
      </c>
      <c r="H48" s="18">
        <f t="shared" si="6"/>
        <v>0.45537946808761898</v>
      </c>
      <c r="J48" s="18">
        <f t="shared" si="7"/>
        <v>5.9659999999999975</v>
      </c>
      <c r="K48" s="18">
        <f t="shared" si="8"/>
        <v>35.593155999999972</v>
      </c>
    </row>
    <row r="49" spans="1:14" ht="14.25" customHeight="1" x14ac:dyDescent="0.35">
      <c r="B49" s="18">
        <v>603</v>
      </c>
      <c r="C49" s="18">
        <v>29.05</v>
      </c>
      <c r="D49" s="18">
        <v>9.35</v>
      </c>
      <c r="E49" s="18">
        <f t="shared" si="4"/>
        <v>9.2925669999999982</v>
      </c>
      <c r="G49" s="18">
        <f t="shared" si="5"/>
        <v>-5.74330000000014E-2</v>
      </c>
      <c r="H49" s="18">
        <f t="shared" si="6"/>
        <v>3.2985494890001607E-3</v>
      </c>
      <c r="J49" s="18">
        <f t="shared" si="7"/>
        <v>-16.024000000000001</v>
      </c>
      <c r="K49" s="18">
        <f t="shared" si="8"/>
        <v>256.76857600000005</v>
      </c>
    </row>
    <row r="50" spans="1:14" ht="14.25" customHeight="1" x14ac:dyDescent="0.35">
      <c r="B50" s="18">
        <v>961.12</v>
      </c>
      <c r="C50" s="18">
        <v>28.13</v>
      </c>
      <c r="D50" s="18">
        <v>26.16</v>
      </c>
      <c r="E50" s="18">
        <f t="shared" si="4"/>
        <v>24.758382599999997</v>
      </c>
      <c r="G50" s="18">
        <f t="shared" si="5"/>
        <v>-1.4016174000000028</v>
      </c>
      <c r="H50" s="18">
        <f t="shared" si="6"/>
        <v>1.9645313359827679</v>
      </c>
      <c r="J50" s="18">
        <f t="shared" si="7"/>
        <v>0.78599999999999781</v>
      </c>
      <c r="K50" s="18">
        <f t="shared" si="8"/>
        <v>0.61779599999999657</v>
      </c>
    </row>
    <row r="51" spans="1:14" ht="14.25" customHeight="1" x14ac:dyDescent="0.35"/>
    <row r="52" spans="1:14" ht="14.25" customHeight="1" x14ac:dyDescent="0.35"/>
    <row r="53" spans="1:14" ht="14.25" customHeight="1" x14ac:dyDescent="0.35"/>
    <row r="54" spans="1:14" ht="14.25" customHeight="1" x14ac:dyDescent="0.35">
      <c r="A54" s="21" t="s">
        <v>50</v>
      </c>
    </row>
    <row r="55" spans="1:14" ht="14.25" customHeight="1" x14ac:dyDescent="0.35"/>
    <row r="56" spans="1:14" ht="14.25" customHeight="1" x14ac:dyDescent="0.35">
      <c r="A56" s="35"/>
      <c r="B56" s="35" t="s">
        <v>49</v>
      </c>
      <c r="C56" s="35"/>
      <c r="D56" s="35"/>
      <c r="E56" s="35"/>
      <c r="F56" s="21"/>
      <c r="G56" s="21"/>
      <c r="H56" s="21"/>
      <c r="I56" s="21"/>
      <c r="J56" s="21"/>
      <c r="K56" s="21"/>
      <c r="L56" s="21"/>
      <c r="M56" s="21"/>
      <c r="N56" s="21"/>
    </row>
    <row r="57" spans="1:14" ht="14.25" customHeight="1" x14ac:dyDescent="0.35">
      <c r="A57" s="35"/>
      <c r="B57" s="35"/>
      <c r="C57" s="35"/>
      <c r="D57" s="35"/>
      <c r="E57" s="35"/>
    </row>
    <row r="58" spans="1:14" ht="14.25" customHeight="1" x14ac:dyDescent="0.35">
      <c r="A58" s="35"/>
      <c r="B58" s="21" t="s">
        <v>51</v>
      </c>
      <c r="C58" s="21" t="s">
        <v>52</v>
      </c>
      <c r="D58" s="21" t="s">
        <v>53</v>
      </c>
      <c r="E58" s="21" t="s">
        <v>54</v>
      </c>
      <c r="F58" s="21" t="s">
        <v>129</v>
      </c>
      <c r="G58" s="21" t="s">
        <v>130</v>
      </c>
      <c r="H58" s="21" t="s">
        <v>131</v>
      </c>
      <c r="I58" s="21" t="s">
        <v>132</v>
      </c>
      <c r="J58" s="21" t="s">
        <v>133</v>
      </c>
      <c r="K58" s="21" t="s">
        <v>134</v>
      </c>
      <c r="L58" s="21" t="s">
        <v>135</v>
      </c>
      <c r="M58" s="21" t="s">
        <v>124</v>
      </c>
      <c r="N58" s="21" t="s">
        <v>125</v>
      </c>
    </row>
    <row r="59" spans="1:14" ht="14.25" customHeight="1" x14ac:dyDescent="0.35">
      <c r="A59" s="35"/>
      <c r="B59" s="35">
        <v>1089.03</v>
      </c>
      <c r="C59" s="35">
        <v>22.71</v>
      </c>
      <c r="D59" s="35">
        <v>37.33</v>
      </c>
      <c r="E59" s="35">
        <f t="shared" ref="E59:E88" si="9">18.8663+0.04028*B59-1.16849*C59</f>
        <v>36.196020500000003</v>
      </c>
      <c r="F59" s="18">
        <f>AVERAGE(D59:D88)</f>
        <v>24.56133333333333</v>
      </c>
      <c r="G59" s="18">
        <f t="shared" ref="G59:G88" si="10">E59-D59</f>
        <v>-1.1339794999999953</v>
      </c>
      <c r="H59" s="18">
        <f t="shared" ref="H59:H88" si="11">G59*G59</f>
        <v>1.2859095064202393</v>
      </c>
      <c r="I59" s="18">
        <f>SUM(H59:H88)</f>
        <v>44.358471302531257</v>
      </c>
      <c r="J59" s="18">
        <f t="shared" ref="J59:J88" si="12">D59-$F$59</f>
        <v>12.768666666666668</v>
      </c>
      <c r="K59" s="18">
        <f t="shared" ref="K59:K88" si="13">J59*J59</f>
        <v>163.03884844444448</v>
      </c>
      <c r="L59" s="18">
        <f>SUM(K59:K88)</f>
        <v>2220.6435466666662</v>
      </c>
      <c r="M59" s="18">
        <f>I59/L59</f>
        <v>1.9975502763204062E-2</v>
      </c>
      <c r="N59" s="18">
        <f>1-M59</f>
        <v>0.98002449723679597</v>
      </c>
    </row>
    <row r="60" spans="1:14" ht="14.25" customHeight="1" x14ac:dyDescent="0.35">
      <c r="A60" s="35"/>
      <c r="B60" s="35">
        <v>591.78</v>
      </c>
      <c r="C60" s="35">
        <v>20.05</v>
      </c>
      <c r="D60" s="35">
        <v>18.5</v>
      </c>
      <c r="E60" s="35">
        <f t="shared" si="9"/>
        <v>19.274973900000003</v>
      </c>
      <c r="G60" s="18">
        <f t="shared" si="10"/>
        <v>0.77497390000000266</v>
      </c>
      <c r="H60" s="18">
        <f t="shared" si="11"/>
        <v>0.60058454568121411</v>
      </c>
      <c r="J60" s="18">
        <f t="shared" si="12"/>
        <v>-6.0613333333333301</v>
      </c>
      <c r="K60" s="18">
        <f t="shared" si="13"/>
        <v>36.739761777777737</v>
      </c>
    </row>
    <row r="61" spans="1:14" ht="14.25" customHeight="1" x14ac:dyDescent="0.35">
      <c r="A61" s="35"/>
      <c r="B61" s="35">
        <v>716.11</v>
      </c>
      <c r="C61" s="35">
        <v>33.479999999999997</v>
      </c>
      <c r="D61" s="35">
        <v>8.39</v>
      </c>
      <c r="E61" s="35">
        <f t="shared" si="9"/>
        <v>8.590165600000006</v>
      </c>
      <c r="G61" s="18">
        <f t="shared" si="10"/>
        <v>0.20016560000000538</v>
      </c>
      <c r="H61" s="18">
        <f t="shared" si="11"/>
        <v>4.0066267423362154E-2</v>
      </c>
      <c r="J61" s="18">
        <f t="shared" si="12"/>
        <v>-16.17133333333333</v>
      </c>
      <c r="K61" s="18">
        <f t="shared" si="13"/>
        <v>261.51202177777765</v>
      </c>
    </row>
    <row r="62" spans="1:14" ht="14.25" customHeight="1" x14ac:dyDescent="0.35">
      <c r="A62" s="35"/>
      <c r="B62" s="35">
        <v>824.1</v>
      </c>
      <c r="C62" s="35">
        <v>18.52</v>
      </c>
      <c r="D62" s="35">
        <v>31.82</v>
      </c>
      <c r="E62" s="35">
        <f t="shared" si="9"/>
        <v>30.420613199999998</v>
      </c>
      <c r="G62" s="18">
        <f t="shared" si="10"/>
        <v>-1.399386800000002</v>
      </c>
      <c r="H62" s="18">
        <f t="shared" si="11"/>
        <v>1.9582834160142457</v>
      </c>
      <c r="J62" s="18">
        <f t="shared" si="12"/>
        <v>7.2586666666666702</v>
      </c>
      <c r="K62" s="18">
        <f t="shared" si="13"/>
        <v>52.688241777777826</v>
      </c>
    </row>
    <row r="63" spans="1:14" ht="14.25" customHeight="1" x14ac:dyDescent="0.35">
      <c r="A63" s="35"/>
      <c r="B63" s="35">
        <v>1019.29</v>
      </c>
      <c r="C63" s="35">
        <v>29.43</v>
      </c>
      <c r="D63" s="35">
        <v>25.26</v>
      </c>
      <c r="E63" s="35">
        <f t="shared" si="9"/>
        <v>25.534640499999995</v>
      </c>
      <c r="G63" s="18">
        <f t="shared" si="10"/>
        <v>0.27464049999999318</v>
      </c>
      <c r="H63" s="18">
        <f t="shared" si="11"/>
        <v>7.5427404240246257E-2</v>
      </c>
      <c r="J63" s="18">
        <f t="shared" si="12"/>
        <v>0.69866666666667143</v>
      </c>
      <c r="K63" s="18">
        <f t="shared" si="13"/>
        <v>0.48813511111111779</v>
      </c>
    </row>
    <row r="64" spans="1:14" ht="14.25" customHeight="1" x14ac:dyDescent="0.35">
      <c r="A64" s="35"/>
      <c r="B64" s="35">
        <v>840.08</v>
      </c>
      <c r="C64" s="35">
        <v>19.21</v>
      </c>
      <c r="D64" s="35">
        <v>29.77</v>
      </c>
      <c r="E64" s="35">
        <f t="shared" si="9"/>
        <v>30.258029500000006</v>
      </c>
      <c r="G64" s="18">
        <f t="shared" si="10"/>
        <v>0.48802950000000678</v>
      </c>
      <c r="H64" s="18">
        <f t="shared" si="11"/>
        <v>0.23817279287025661</v>
      </c>
      <c r="J64" s="18">
        <f t="shared" si="12"/>
        <v>5.2086666666666694</v>
      </c>
      <c r="K64" s="18">
        <f t="shared" si="13"/>
        <v>27.130208444444474</v>
      </c>
    </row>
    <row r="65" spans="1:11" ht="14.25" customHeight="1" x14ac:dyDescent="0.35">
      <c r="A65" s="35"/>
      <c r="B65" s="35">
        <v>595.80999999999995</v>
      </c>
      <c r="C65" s="35">
        <v>24.13</v>
      </c>
      <c r="D65" s="35">
        <v>16.329999999999998</v>
      </c>
      <c r="E65" s="35">
        <f t="shared" si="9"/>
        <v>14.669863099999997</v>
      </c>
      <c r="G65" s="18">
        <f t="shared" si="10"/>
        <v>-1.6601369000000012</v>
      </c>
      <c r="H65" s="18">
        <f t="shared" si="11"/>
        <v>2.7560545267416141</v>
      </c>
      <c r="J65" s="18">
        <f t="shared" si="12"/>
        <v>-8.2313333333333318</v>
      </c>
      <c r="K65" s="18">
        <f t="shared" si="13"/>
        <v>67.75484844444442</v>
      </c>
    </row>
    <row r="66" spans="1:11" ht="14.25" customHeight="1" x14ac:dyDescent="0.35">
      <c r="A66" s="35"/>
      <c r="B66" s="35">
        <v>740.48</v>
      </c>
      <c r="C66" s="35">
        <v>25.11</v>
      </c>
      <c r="D66" s="35">
        <v>19.64</v>
      </c>
      <c r="E66" s="35">
        <f t="shared" si="9"/>
        <v>19.352050500000001</v>
      </c>
      <c r="G66" s="18">
        <f t="shared" si="10"/>
        <v>-0.28794949999999986</v>
      </c>
      <c r="H66" s="18">
        <f t="shared" si="11"/>
        <v>8.2914914550249921E-2</v>
      </c>
      <c r="J66" s="18">
        <f t="shared" si="12"/>
        <v>-4.9213333333333296</v>
      </c>
      <c r="K66" s="18">
        <f t="shared" si="13"/>
        <v>24.219521777777739</v>
      </c>
    </row>
    <row r="67" spans="1:11" ht="14.25" customHeight="1" x14ac:dyDescent="0.35">
      <c r="A67" s="35"/>
      <c r="B67" s="35">
        <v>727.1</v>
      </c>
      <c r="C67" s="35">
        <v>21.08</v>
      </c>
      <c r="D67" s="35">
        <v>24.38</v>
      </c>
      <c r="E67" s="35">
        <f t="shared" si="9"/>
        <v>23.522118800000005</v>
      </c>
      <c r="G67" s="18">
        <f t="shared" si="10"/>
        <v>-0.85788119999999424</v>
      </c>
      <c r="H67" s="18">
        <f t="shared" si="11"/>
        <v>0.73596015331343012</v>
      </c>
      <c r="J67" s="18">
        <f t="shared" si="12"/>
        <v>-0.18133333333333113</v>
      </c>
      <c r="K67" s="18">
        <f t="shared" si="13"/>
        <v>3.2881777777776976E-2</v>
      </c>
    </row>
    <row r="68" spans="1:11" ht="14.25" customHeight="1" x14ac:dyDescent="0.35">
      <c r="A68" s="35"/>
      <c r="B68" s="35">
        <v>710.29</v>
      </c>
      <c r="C68" s="35">
        <v>26.86</v>
      </c>
      <c r="D68" s="35">
        <v>17.940000000000001</v>
      </c>
      <c r="E68" s="35">
        <f t="shared" si="9"/>
        <v>16.091139800000004</v>
      </c>
      <c r="G68" s="18">
        <f t="shared" si="10"/>
        <v>-1.8488601999999972</v>
      </c>
      <c r="H68" s="18">
        <f t="shared" si="11"/>
        <v>3.4182840391440297</v>
      </c>
      <c r="J68" s="18">
        <f t="shared" si="12"/>
        <v>-6.6213333333333289</v>
      </c>
      <c r="K68" s="18">
        <f t="shared" si="13"/>
        <v>43.842055111111051</v>
      </c>
    </row>
    <row r="69" spans="1:11" ht="14.25" customHeight="1" x14ac:dyDescent="0.35">
      <c r="A69" s="35"/>
      <c r="B69" s="35">
        <v>615.85</v>
      </c>
      <c r="C69" s="35">
        <v>27.09</v>
      </c>
      <c r="D69" s="35">
        <v>13.84</v>
      </c>
      <c r="E69" s="35">
        <f t="shared" si="9"/>
        <v>12.018343900000001</v>
      </c>
      <c r="G69" s="18">
        <f t="shared" si="10"/>
        <v>-1.8216560999999984</v>
      </c>
      <c r="H69" s="18">
        <f t="shared" si="11"/>
        <v>3.3184309466672044</v>
      </c>
      <c r="J69" s="18">
        <f t="shared" si="12"/>
        <v>-10.72133333333333</v>
      </c>
      <c r="K69" s="18">
        <f t="shared" si="13"/>
        <v>114.94698844444437</v>
      </c>
    </row>
    <row r="70" spans="1:11" ht="14.25" customHeight="1" x14ac:dyDescent="0.35">
      <c r="A70" s="35"/>
      <c r="B70" s="35">
        <v>790.43</v>
      </c>
      <c r="C70" s="35">
        <v>23.39</v>
      </c>
      <c r="D70" s="35">
        <v>23.03</v>
      </c>
      <c r="E70" s="35">
        <f t="shared" si="9"/>
        <v>23.3738393</v>
      </c>
      <c r="G70" s="18">
        <f t="shared" si="10"/>
        <v>0.34383929999999907</v>
      </c>
      <c r="H70" s="18">
        <f t="shared" si="11"/>
        <v>0.11822546422448936</v>
      </c>
      <c r="J70" s="18">
        <f t="shared" si="12"/>
        <v>-1.531333333333329</v>
      </c>
      <c r="K70" s="18">
        <f t="shared" si="13"/>
        <v>2.3449817777777646</v>
      </c>
    </row>
    <row r="71" spans="1:11" ht="14.25" customHeight="1" x14ac:dyDescent="0.35">
      <c r="A71" s="35"/>
      <c r="B71" s="35">
        <v>813.68</v>
      </c>
      <c r="C71" s="35">
        <v>30.53</v>
      </c>
      <c r="D71" s="35">
        <v>15.12</v>
      </c>
      <c r="E71" s="35">
        <f t="shared" si="9"/>
        <v>15.967330699999998</v>
      </c>
      <c r="G71" s="18">
        <f t="shared" si="10"/>
        <v>0.84733069999999877</v>
      </c>
      <c r="H71" s="18">
        <f t="shared" si="11"/>
        <v>0.71796931516248796</v>
      </c>
      <c r="J71" s="18">
        <f t="shared" si="12"/>
        <v>-9.4413333333333309</v>
      </c>
      <c r="K71" s="18">
        <f t="shared" si="13"/>
        <v>89.138775111111059</v>
      </c>
    </row>
    <row r="72" spans="1:11" ht="14.25" customHeight="1" x14ac:dyDescent="0.35">
      <c r="A72" s="35"/>
      <c r="B72" s="35">
        <v>1042.43</v>
      </c>
      <c r="C72" s="35">
        <v>20.72</v>
      </c>
      <c r="D72" s="35">
        <v>37.26</v>
      </c>
      <c r="E72" s="35">
        <f t="shared" si="9"/>
        <v>36.644267600000006</v>
      </c>
      <c r="G72" s="18">
        <f t="shared" si="10"/>
        <v>-0.61573239999999174</v>
      </c>
      <c r="H72" s="18">
        <f t="shared" si="11"/>
        <v>0.37912638840974983</v>
      </c>
      <c r="J72" s="18">
        <f t="shared" si="12"/>
        <v>12.698666666666668</v>
      </c>
      <c r="K72" s="18">
        <f t="shared" si="13"/>
        <v>161.25613511111115</v>
      </c>
    </row>
    <row r="73" spans="1:11" ht="14.25" customHeight="1" x14ac:dyDescent="0.35">
      <c r="A73" s="35"/>
      <c r="B73" s="35">
        <v>1057.47</v>
      </c>
      <c r="C73" s="35">
        <v>21.27</v>
      </c>
      <c r="D73" s="35">
        <v>36.57</v>
      </c>
      <c r="E73" s="35">
        <f t="shared" si="9"/>
        <v>36.607409300000008</v>
      </c>
      <c r="G73" s="18">
        <f t="shared" si="10"/>
        <v>3.7409300000007306E-2</v>
      </c>
      <c r="H73" s="18">
        <f t="shared" si="11"/>
        <v>1.3994557264905467E-3</v>
      </c>
      <c r="J73" s="18">
        <f t="shared" si="12"/>
        <v>12.00866666666667</v>
      </c>
      <c r="K73" s="18">
        <f t="shared" si="13"/>
        <v>144.20807511111119</v>
      </c>
    </row>
    <row r="74" spans="1:11" ht="14.25" customHeight="1" x14ac:dyDescent="0.35">
      <c r="A74" s="35"/>
      <c r="B74" s="35">
        <v>865.67</v>
      </c>
      <c r="C74" s="35">
        <v>24.03</v>
      </c>
      <c r="D74" s="35">
        <v>22.95</v>
      </c>
      <c r="E74" s="35">
        <f t="shared" si="9"/>
        <v>25.656672899999997</v>
      </c>
      <c r="G74" s="18">
        <f t="shared" si="10"/>
        <v>2.7066728999999974</v>
      </c>
      <c r="H74" s="18">
        <f t="shared" si="11"/>
        <v>7.3260781875943959</v>
      </c>
      <c r="J74" s="18">
        <f t="shared" si="12"/>
        <v>-1.6113333333333308</v>
      </c>
      <c r="K74" s="18">
        <f t="shared" si="13"/>
        <v>2.5963951111111032</v>
      </c>
    </row>
    <row r="75" spans="1:11" ht="14.25" customHeight="1" x14ac:dyDescent="0.35">
      <c r="A75" s="35"/>
      <c r="B75" s="35">
        <v>822.44</v>
      </c>
      <c r="C75" s="35">
        <v>24.43</v>
      </c>
      <c r="D75" s="35">
        <v>25.49</v>
      </c>
      <c r="E75" s="35">
        <f t="shared" si="9"/>
        <v>23.447972500000009</v>
      </c>
      <c r="G75" s="18">
        <f t="shared" si="10"/>
        <v>-2.042027499999989</v>
      </c>
      <c r="H75" s="18">
        <f t="shared" si="11"/>
        <v>4.1698763107562051</v>
      </c>
      <c r="J75" s="18">
        <f t="shared" si="12"/>
        <v>0.92866666666666831</v>
      </c>
      <c r="K75" s="18">
        <f t="shared" si="13"/>
        <v>0.86242177777778084</v>
      </c>
    </row>
    <row r="76" spans="1:11" ht="14.25" customHeight="1" x14ac:dyDescent="0.35">
      <c r="A76" s="35"/>
      <c r="B76" s="35">
        <v>1044.75</v>
      </c>
      <c r="C76" s="35">
        <v>21.51</v>
      </c>
      <c r="D76" s="35">
        <v>36.01</v>
      </c>
      <c r="E76" s="35">
        <f t="shared" si="9"/>
        <v>35.814610099999996</v>
      </c>
      <c r="G76" s="18">
        <f t="shared" si="10"/>
        <v>-0.19538990000000211</v>
      </c>
      <c r="H76" s="18">
        <f t="shared" si="11"/>
        <v>3.8177213022010825E-2</v>
      </c>
      <c r="J76" s="18">
        <f t="shared" si="12"/>
        <v>11.448666666666668</v>
      </c>
      <c r="K76" s="18">
        <f t="shared" si="13"/>
        <v>131.07196844444448</v>
      </c>
    </row>
    <row r="77" spans="1:11" ht="14.25" customHeight="1" x14ac:dyDescent="0.35">
      <c r="A77" s="35"/>
      <c r="B77" s="35">
        <v>1121.0999999999999</v>
      </c>
      <c r="C77" s="35">
        <v>33.619999999999997</v>
      </c>
      <c r="D77" s="35">
        <v>25.61</v>
      </c>
      <c r="E77" s="35">
        <f t="shared" si="9"/>
        <v>24.739574200000007</v>
      </c>
      <c r="G77" s="18">
        <f t="shared" si="10"/>
        <v>-0.87042579999999248</v>
      </c>
      <c r="H77" s="18">
        <f t="shared" si="11"/>
        <v>0.75764107330562691</v>
      </c>
      <c r="J77" s="18">
        <f t="shared" si="12"/>
        <v>1.0486666666666693</v>
      </c>
      <c r="K77" s="18">
        <f t="shared" si="13"/>
        <v>1.0997017777777833</v>
      </c>
    </row>
    <row r="78" spans="1:11" ht="14.25" customHeight="1" x14ac:dyDescent="0.35">
      <c r="A78" s="35"/>
      <c r="B78" s="35">
        <v>972.44</v>
      </c>
      <c r="C78" s="35">
        <v>32.08</v>
      </c>
      <c r="D78" s="35">
        <v>18.649999999999999</v>
      </c>
      <c r="E78" s="35">
        <f t="shared" si="9"/>
        <v>20.551024000000012</v>
      </c>
      <c r="G78" s="18">
        <f t="shared" si="10"/>
        <v>1.9010240000000138</v>
      </c>
      <c r="H78" s="18">
        <f t="shared" si="11"/>
        <v>3.6138922485760525</v>
      </c>
      <c r="J78" s="18">
        <f t="shared" si="12"/>
        <v>-5.9113333333333316</v>
      </c>
      <c r="K78" s="18">
        <f t="shared" si="13"/>
        <v>34.943861777777755</v>
      </c>
    </row>
    <row r="79" spans="1:11" ht="14.25" customHeight="1" x14ac:dyDescent="0.35">
      <c r="A79" s="35"/>
      <c r="B79" s="35">
        <v>1060.3399999999999</v>
      </c>
      <c r="C79" s="35">
        <v>19.82</v>
      </c>
      <c r="D79" s="35">
        <v>40.57</v>
      </c>
      <c r="E79" s="35">
        <f t="shared" si="9"/>
        <v>38.417323399999987</v>
      </c>
      <c r="G79" s="18">
        <f t="shared" si="10"/>
        <v>-2.1526766000000137</v>
      </c>
      <c r="H79" s="18">
        <f t="shared" si="11"/>
        <v>4.6340165441876193</v>
      </c>
      <c r="J79" s="18">
        <f t="shared" si="12"/>
        <v>16.00866666666667</v>
      </c>
      <c r="K79" s="18">
        <f t="shared" si="13"/>
        <v>256.27740844444457</v>
      </c>
    </row>
    <row r="80" spans="1:11" ht="14.25" customHeight="1" x14ac:dyDescent="0.35">
      <c r="A80" s="35"/>
      <c r="B80" s="35">
        <v>1157.3800000000001</v>
      </c>
      <c r="C80" s="35">
        <v>24.28</v>
      </c>
      <c r="D80" s="35">
        <v>36.28</v>
      </c>
      <c r="E80" s="35">
        <f t="shared" si="9"/>
        <v>37.11462920000001</v>
      </c>
      <c r="G80" s="18">
        <f t="shared" si="10"/>
        <v>0.83462920000000906</v>
      </c>
      <c r="H80" s="18">
        <f t="shared" si="11"/>
        <v>0.69660590149265511</v>
      </c>
      <c r="J80" s="18">
        <f t="shared" si="12"/>
        <v>11.718666666666671</v>
      </c>
      <c r="K80" s="18">
        <f t="shared" si="13"/>
        <v>137.32714844444453</v>
      </c>
    </row>
    <row r="81" spans="1:14" ht="14.25" customHeight="1" x14ac:dyDescent="0.35">
      <c r="A81" s="35"/>
      <c r="B81" s="35">
        <v>528.46</v>
      </c>
      <c r="C81" s="35">
        <v>21.96</v>
      </c>
      <c r="D81" s="35">
        <v>14.63</v>
      </c>
      <c r="E81" s="35">
        <f t="shared" si="9"/>
        <v>14.492628399999997</v>
      </c>
      <c r="G81" s="18">
        <f t="shared" si="10"/>
        <v>-0.13737160000000337</v>
      </c>
      <c r="H81" s="18">
        <f t="shared" si="11"/>
        <v>1.8870956486560925E-2</v>
      </c>
      <c r="J81" s="18">
        <f t="shared" si="12"/>
        <v>-9.9313333333333293</v>
      </c>
      <c r="K81" s="18">
        <f t="shared" si="13"/>
        <v>98.631381777777705</v>
      </c>
    </row>
    <row r="82" spans="1:14" ht="14.25" customHeight="1" x14ac:dyDescent="0.35">
      <c r="A82" s="35"/>
      <c r="B82" s="35">
        <v>1112.97</v>
      </c>
      <c r="C82" s="35">
        <v>25.67</v>
      </c>
      <c r="D82" s="35">
        <v>31.61</v>
      </c>
      <c r="E82" s="35">
        <f t="shared" si="9"/>
        <v>33.701593299999999</v>
      </c>
      <c r="G82" s="18">
        <f t="shared" si="10"/>
        <v>2.0915932999999995</v>
      </c>
      <c r="H82" s="18">
        <f t="shared" si="11"/>
        <v>4.3747625326048878</v>
      </c>
      <c r="J82" s="18">
        <f t="shared" si="12"/>
        <v>7.0486666666666693</v>
      </c>
      <c r="K82" s="18">
        <f t="shared" si="13"/>
        <v>49.683701777777813</v>
      </c>
    </row>
    <row r="83" spans="1:14" ht="14.25" customHeight="1" x14ac:dyDescent="0.35">
      <c r="A83" s="35"/>
      <c r="B83" s="35">
        <v>693.59</v>
      </c>
      <c r="C83" s="35">
        <v>22.7</v>
      </c>
      <c r="D83" s="35">
        <v>20.260000000000002</v>
      </c>
      <c r="E83" s="35">
        <f t="shared" si="9"/>
        <v>20.279382200000004</v>
      </c>
      <c r="G83" s="18">
        <f t="shared" si="10"/>
        <v>1.938220000000257E-2</v>
      </c>
      <c r="H83" s="18">
        <f t="shared" si="11"/>
        <v>3.7566967684009962E-4</v>
      </c>
      <c r="J83" s="18">
        <f t="shared" si="12"/>
        <v>-4.3013333333333286</v>
      </c>
      <c r="K83" s="18">
        <f t="shared" si="13"/>
        <v>18.501468444444402</v>
      </c>
    </row>
    <row r="84" spans="1:14" ht="14.25" customHeight="1" x14ac:dyDescent="0.35">
      <c r="A84" s="35"/>
      <c r="B84" s="35">
        <v>833.04</v>
      </c>
      <c r="C84" s="35">
        <v>26.53</v>
      </c>
      <c r="D84" s="35">
        <v>21.14</v>
      </c>
      <c r="E84" s="35">
        <f t="shared" si="9"/>
        <v>21.421111499999995</v>
      </c>
      <c r="G84" s="18">
        <f t="shared" si="10"/>
        <v>0.28111149999999441</v>
      </c>
      <c r="H84" s="18">
        <f t="shared" si="11"/>
        <v>7.9023675432246851E-2</v>
      </c>
      <c r="J84" s="18">
        <f t="shared" si="12"/>
        <v>-3.4213333333333296</v>
      </c>
      <c r="K84" s="18">
        <f t="shared" si="13"/>
        <v>11.705521777777752</v>
      </c>
    </row>
    <row r="85" spans="1:14" ht="14.25" customHeight="1" x14ac:dyDescent="0.35">
      <c r="A85" s="35"/>
      <c r="B85" s="35">
        <v>1057.73</v>
      </c>
      <c r="C85" s="35">
        <v>33.68</v>
      </c>
      <c r="D85" s="35">
        <v>21.61</v>
      </c>
      <c r="E85" s="35">
        <f t="shared" si="9"/>
        <v>22.116921200000007</v>
      </c>
      <c r="G85" s="18">
        <f t="shared" si="10"/>
        <v>0.50692120000000784</v>
      </c>
      <c r="H85" s="18">
        <f t="shared" si="11"/>
        <v>0.25696910300944797</v>
      </c>
      <c r="J85" s="18">
        <f t="shared" si="12"/>
        <v>-2.9513333333333307</v>
      </c>
      <c r="K85" s="18">
        <f t="shared" si="13"/>
        <v>8.7103684444444287</v>
      </c>
    </row>
    <row r="86" spans="1:14" ht="14.25" customHeight="1" x14ac:dyDescent="0.35">
      <c r="A86" s="35"/>
      <c r="B86" s="35">
        <v>1002.07</v>
      </c>
      <c r="C86" s="35">
        <v>24.5</v>
      </c>
      <c r="D86" s="35">
        <v>31.34</v>
      </c>
      <c r="E86" s="35">
        <f t="shared" si="9"/>
        <v>30.601674599999996</v>
      </c>
      <c r="G86" s="18">
        <f t="shared" si="10"/>
        <v>-0.73832540000000435</v>
      </c>
      <c r="H86" s="18">
        <f t="shared" si="11"/>
        <v>0.5451243962851664</v>
      </c>
      <c r="J86" s="18">
        <f t="shared" si="12"/>
        <v>6.7786666666666697</v>
      </c>
      <c r="K86" s="18">
        <f t="shared" si="13"/>
        <v>45.950321777777816</v>
      </c>
    </row>
    <row r="87" spans="1:14" ht="14.25" customHeight="1" x14ac:dyDescent="0.35">
      <c r="A87" s="35"/>
      <c r="B87" s="35">
        <v>603</v>
      </c>
      <c r="C87" s="35">
        <v>29.05</v>
      </c>
      <c r="D87" s="35">
        <v>9.35</v>
      </c>
      <c r="E87" s="35">
        <f t="shared" si="9"/>
        <v>9.2105055000000036</v>
      </c>
      <c r="G87" s="18">
        <f t="shared" si="10"/>
        <v>-0.13949449999999608</v>
      </c>
      <c r="H87" s="18">
        <f t="shared" si="11"/>
        <v>1.9458715530248905E-2</v>
      </c>
      <c r="J87" s="18">
        <f t="shared" si="12"/>
        <v>-15.21133333333333</v>
      </c>
      <c r="K87" s="18">
        <f t="shared" si="13"/>
        <v>231.38466177777769</v>
      </c>
    </row>
    <row r="88" spans="1:14" ht="14.25" customHeight="1" x14ac:dyDescent="0.35">
      <c r="A88" s="35"/>
      <c r="B88" s="35">
        <v>961.12</v>
      </c>
      <c r="C88" s="35">
        <v>28.13</v>
      </c>
      <c r="D88" s="35">
        <v>26.16</v>
      </c>
      <c r="E88" s="35">
        <f t="shared" si="9"/>
        <v>24.710589900000009</v>
      </c>
      <c r="G88" s="18">
        <f t="shared" si="10"/>
        <v>-1.4494100999999908</v>
      </c>
      <c r="H88" s="18">
        <f t="shared" si="11"/>
        <v>2.1007896379819835</v>
      </c>
      <c r="J88" s="18">
        <f t="shared" si="12"/>
        <v>1.59866666666667</v>
      </c>
      <c r="K88" s="18">
        <f t="shared" si="13"/>
        <v>2.5557351111111219</v>
      </c>
    </row>
    <row r="89" spans="1:14" ht="14.25" customHeight="1" x14ac:dyDescent="0.35"/>
    <row r="90" spans="1:14" ht="14.25" customHeight="1" x14ac:dyDescent="0.35"/>
    <row r="91" spans="1:14" ht="14.25" customHeight="1" x14ac:dyDescent="0.35"/>
    <row r="92" spans="1:14" ht="14.25" customHeight="1" x14ac:dyDescent="0.35">
      <c r="B92" s="21" t="s">
        <v>56</v>
      </c>
      <c r="C92" s="35"/>
      <c r="D92" s="35"/>
      <c r="E92" s="35"/>
    </row>
    <row r="93" spans="1:14" ht="14.25" customHeight="1" x14ac:dyDescent="0.35">
      <c r="B93" s="21" t="s">
        <v>57</v>
      </c>
      <c r="C93" s="35"/>
      <c r="D93" s="35"/>
      <c r="E93" s="35"/>
    </row>
    <row r="94" spans="1:14" ht="14.25" customHeight="1" x14ac:dyDescent="0.35">
      <c r="B94" s="35"/>
      <c r="C94" s="35"/>
      <c r="D94" s="35"/>
      <c r="E94" s="35"/>
    </row>
    <row r="95" spans="1:14" ht="14.25" customHeight="1" x14ac:dyDescent="0.35">
      <c r="B95" s="21" t="s">
        <v>8</v>
      </c>
      <c r="C95" s="21" t="s">
        <v>9</v>
      </c>
      <c r="D95" s="21" t="s">
        <v>10</v>
      </c>
      <c r="E95" s="21" t="s">
        <v>54</v>
      </c>
      <c r="F95" s="21" t="s">
        <v>129</v>
      </c>
      <c r="G95" s="21" t="s">
        <v>130</v>
      </c>
      <c r="H95" s="21" t="s">
        <v>131</v>
      </c>
      <c r="I95" s="21" t="s">
        <v>132</v>
      </c>
      <c r="J95" s="21" t="s">
        <v>133</v>
      </c>
      <c r="K95" s="21" t="s">
        <v>134</v>
      </c>
      <c r="L95" s="21" t="s">
        <v>135</v>
      </c>
      <c r="M95" s="21" t="s">
        <v>124</v>
      </c>
      <c r="N95" s="21" t="s">
        <v>125</v>
      </c>
    </row>
    <row r="96" spans="1:14" ht="14.25" customHeight="1" x14ac:dyDescent="0.35">
      <c r="B96" s="35">
        <v>1168.83</v>
      </c>
      <c r="C96" s="35">
        <v>18.18</v>
      </c>
      <c r="D96" s="35">
        <v>44.05</v>
      </c>
      <c r="E96" s="35">
        <f t="shared" ref="E96:E135" si="14">18.6947+0.04119*B96-1.19176*C96</f>
        <v>45.172610899999995</v>
      </c>
      <c r="F96" s="18">
        <f>AVERAGE(D96:D135)</f>
        <v>24.396000000000001</v>
      </c>
      <c r="G96" s="18">
        <f t="shared" ref="G96:G135" si="15">E96-D96</f>
        <v>1.122610899999998</v>
      </c>
      <c r="H96" s="18">
        <f t="shared" ref="H96:H135" si="16">G96*G96</f>
        <v>1.2602552327988055</v>
      </c>
      <c r="I96" s="18">
        <f>SUM(H96:H135)</f>
        <v>60.1965419576984</v>
      </c>
      <c r="J96" s="18">
        <f t="shared" ref="J96:J135" si="17">D96-$F$96</f>
        <v>19.653999999999996</v>
      </c>
      <c r="K96" s="18">
        <f t="shared" ref="K96:K135" si="18">J96*J96</f>
        <v>386.27971599999984</v>
      </c>
      <c r="L96" s="18">
        <f>SUM(K96:K135)</f>
        <v>3774.4125600000011</v>
      </c>
      <c r="M96" s="18">
        <f>I96/L96</f>
        <v>1.5948585641019163E-2</v>
      </c>
      <c r="N96" s="18">
        <f>1-M96</f>
        <v>0.9840514143589808</v>
      </c>
    </row>
    <row r="97" spans="2:11" ht="14.25" customHeight="1" x14ac:dyDescent="0.35">
      <c r="B97" s="35">
        <v>978.04</v>
      </c>
      <c r="C97" s="35">
        <v>32.119999999999997</v>
      </c>
      <c r="D97" s="35">
        <v>20.64</v>
      </c>
      <c r="E97" s="35">
        <f t="shared" si="14"/>
        <v>20.700836400000007</v>
      </c>
      <c r="G97" s="18">
        <f t="shared" si="15"/>
        <v>6.0836400000006563E-2</v>
      </c>
      <c r="H97" s="18">
        <f t="shared" si="16"/>
        <v>3.7010675649607984E-3</v>
      </c>
      <c r="J97" s="18">
        <f t="shared" si="17"/>
        <v>-3.7560000000000002</v>
      </c>
      <c r="K97" s="18">
        <f t="shared" si="18"/>
        <v>14.107536000000001</v>
      </c>
    </row>
    <row r="98" spans="2:11" ht="14.25" customHeight="1" x14ac:dyDescent="0.35">
      <c r="B98" s="35">
        <v>537.19000000000005</v>
      </c>
      <c r="C98" s="35">
        <v>33.75</v>
      </c>
      <c r="D98" s="35">
        <v>0.69</v>
      </c>
      <c r="E98" s="35">
        <f t="shared" si="14"/>
        <v>0.59965610000000424</v>
      </c>
      <c r="G98" s="18">
        <f t="shared" si="15"/>
        <v>-9.0343899999995703E-2</v>
      </c>
      <c r="H98" s="18">
        <f t="shared" si="16"/>
        <v>8.1620202672092242E-3</v>
      </c>
      <c r="J98" s="18">
        <f t="shared" si="17"/>
        <v>-23.706</v>
      </c>
      <c r="K98" s="18">
        <f t="shared" si="18"/>
        <v>561.97443599999997</v>
      </c>
    </row>
    <row r="99" spans="2:11" ht="14.25" customHeight="1" x14ac:dyDescent="0.35">
      <c r="B99" s="35">
        <v>716.2</v>
      </c>
      <c r="C99" s="35">
        <v>25.8</v>
      </c>
      <c r="D99" s="35">
        <v>18.579999999999998</v>
      </c>
      <c r="E99" s="35">
        <f t="shared" si="14"/>
        <v>17.447570000000006</v>
      </c>
      <c r="G99" s="18">
        <f t="shared" si="15"/>
        <v>-1.1324299999999923</v>
      </c>
      <c r="H99" s="18">
        <f t="shared" si="16"/>
        <v>1.2823977048999826</v>
      </c>
      <c r="J99" s="18">
        <f t="shared" si="17"/>
        <v>-5.8160000000000025</v>
      </c>
      <c r="K99" s="18">
        <f t="shared" si="18"/>
        <v>33.82585600000003</v>
      </c>
    </row>
    <row r="100" spans="2:11" ht="14.25" customHeight="1" x14ac:dyDescent="0.35">
      <c r="B100" s="35">
        <v>914.82</v>
      </c>
      <c r="C100" s="35">
        <v>31.11</v>
      </c>
      <c r="D100" s="35">
        <v>19.52</v>
      </c>
      <c r="E100" s="35">
        <f t="shared" si="14"/>
        <v>19.300482200000005</v>
      </c>
      <c r="G100" s="18">
        <f t="shared" si="15"/>
        <v>-0.21951779999999488</v>
      </c>
      <c r="H100" s="18">
        <f t="shared" si="16"/>
        <v>4.8188064516837749E-2</v>
      </c>
      <c r="J100" s="18">
        <f t="shared" si="17"/>
        <v>-4.8760000000000012</v>
      </c>
      <c r="K100" s="18">
        <f t="shared" si="18"/>
        <v>23.775376000000012</v>
      </c>
    </row>
    <row r="101" spans="2:11" ht="14.25" customHeight="1" x14ac:dyDescent="0.35">
      <c r="B101" s="35">
        <v>664.58</v>
      </c>
      <c r="C101" s="35">
        <v>32.729999999999997</v>
      </c>
      <c r="D101" s="35">
        <v>9.92</v>
      </c>
      <c r="E101" s="35">
        <f t="shared" si="14"/>
        <v>7.0624454000000014</v>
      </c>
      <c r="G101" s="18">
        <f t="shared" si="15"/>
        <v>-2.8575545999999985</v>
      </c>
      <c r="H101" s="18">
        <f t="shared" si="16"/>
        <v>8.1656182919811506</v>
      </c>
      <c r="J101" s="18">
        <f t="shared" si="17"/>
        <v>-14.476000000000001</v>
      </c>
      <c r="K101" s="18">
        <f t="shared" si="18"/>
        <v>209.55457600000003</v>
      </c>
    </row>
    <row r="102" spans="2:11" ht="14.25" customHeight="1" x14ac:dyDescent="0.35">
      <c r="B102" s="35">
        <v>1175.48</v>
      </c>
      <c r="C102" s="35">
        <v>28.36</v>
      </c>
      <c r="D102" s="35">
        <v>32.65</v>
      </c>
      <c r="E102" s="35">
        <f t="shared" si="14"/>
        <v>33.314407599999996</v>
      </c>
      <c r="G102" s="18">
        <f t="shared" si="15"/>
        <v>0.66440759999999699</v>
      </c>
      <c r="H102" s="18">
        <f t="shared" si="16"/>
        <v>0.44143745893775599</v>
      </c>
      <c r="J102" s="18">
        <f t="shared" si="17"/>
        <v>8.2539999999999978</v>
      </c>
      <c r="K102" s="18">
        <f t="shared" si="18"/>
        <v>68.128515999999962</v>
      </c>
    </row>
    <row r="103" spans="2:11" ht="14.25" customHeight="1" x14ac:dyDescent="0.35">
      <c r="B103" s="35">
        <v>1161.53</v>
      </c>
      <c r="C103" s="35">
        <v>32.83</v>
      </c>
      <c r="D103" s="35">
        <v>26.72</v>
      </c>
      <c r="E103" s="35">
        <f t="shared" si="14"/>
        <v>27.412639899999995</v>
      </c>
      <c r="G103" s="18">
        <f t="shared" si="15"/>
        <v>0.69263989999999609</v>
      </c>
      <c r="H103" s="18">
        <f t="shared" si="16"/>
        <v>0.47975003107200459</v>
      </c>
      <c r="J103" s="18">
        <f t="shared" si="17"/>
        <v>2.3239999999999981</v>
      </c>
      <c r="K103" s="18">
        <f t="shared" si="18"/>
        <v>5.4009759999999911</v>
      </c>
    </row>
    <row r="104" spans="2:11" ht="14.25" customHeight="1" x14ac:dyDescent="0.35">
      <c r="B104" s="35">
        <v>1093.8800000000001</v>
      </c>
      <c r="C104" s="35">
        <v>18.41</v>
      </c>
      <c r="D104" s="35">
        <v>40.11</v>
      </c>
      <c r="E104" s="35">
        <f t="shared" si="14"/>
        <v>41.8113156</v>
      </c>
      <c r="G104" s="18">
        <f t="shared" si="15"/>
        <v>1.7013156000000009</v>
      </c>
      <c r="H104" s="18">
        <f t="shared" si="16"/>
        <v>2.8944747708033631</v>
      </c>
      <c r="J104" s="18">
        <f t="shared" si="17"/>
        <v>15.713999999999999</v>
      </c>
      <c r="K104" s="18">
        <f t="shared" si="18"/>
        <v>246.92979599999995</v>
      </c>
    </row>
    <row r="105" spans="2:11" ht="14.25" customHeight="1" x14ac:dyDescent="0.35">
      <c r="B105" s="35">
        <v>830.63</v>
      </c>
      <c r="C105" s="35">
        <v>22.62</v>
      </c>
      <c r="D105" s="35">
        <v>26.12</v>
      </c>
      <c r="E105" s="35">
        <f t="shared" si="14"/>
        <v>25.950738500000003</v>
      </c>
      <c r="G105" s="18">
        <f t="shared" si="15"/>
        <v>-0.16926149999999751</v>
      </c>
      <c r="H105" s="18">
        <f t="shared" si="16"/>
        <v>2.8649455382249157E-2</v>
      </c>
      <c r="J105" s="18">
        <f t="shared" si="17"/>
        <v>1.7240000000000002</v>
      </c>
      <c r="K105" s="18">
        <f t="shared" si="18"/>
        <v>2.9721760000000006</v>
      </c>
    </row>
    <row r="106" spans="2:11" ht="14.25" customHeight="1" x14ac:dyDescent="0.35">
      <c r="B106" s="35">
        <v>1089.03</v>
      </c>
      <c r="C106" s="35">
        <v>22.71</v>
      </c>
      <c r="D106" s="35">
        <v>37.33</v>
      </c>
      <c r="E106" s="35">
        <f t="shared" si="14"/>
        <v>36.486976100000007</v>
      </c>
      <c r="G106" s="18">
        <f t="shared" si="15"/>
        <v>-0.8430238999999915</v>
      </c>
      <c r="H106" s="18">
        <f t="shared" si="16"/>
        <v>0.71068929597119568</v>
      </c>
      <c r="J106" s="18">
        <f t="shared" si="17"/>
        <v>12.933999999999997</v>
      </c>
      <c r="K106" s="18">
        <f t="shared" si="18"/>
        <v>167.28835599999994</v>
      </c>
    </row>
    <row r="107" spans="2:11" ht="14.25" customHeight="1" x14ac:dyDescent="0.35">
      <c r="B107" s="35">
        <v>591.78</v>
      </c>
      <c r="C107" s="35">
        <v>20.05</v>
      </c>
      <c r="D107" s="35">
        <v>18.5</v>
      </c>
      <c r="E107" s="35">
        <f t="shared" si="14"/>
        <v>19.175330199999998</v>
      </c>
      <c r="G107" s="18">
        <f t="shared" si="15"/>
        <v>0.67533019999999766</v>
      </c>
      <c r="H107" s="18">
        <f t="shared" si="16"/>
        <v>0.45607087903203686</v>
      </c>
      <c r="J107" s="18">
        <f t="shared" si="17"/>
        <v>-5.8960000000000008</v>
      </c>
      <c r="K107" s="18">
        <f t="shared" si="18"/>
        <v>34.762816000000008</v>
      </c>
    </row>
    <row r="108" spans="2:11" ht="14.25" customHeight="1" x14ac:dyDescent="0.35">
      <c r="B108" s="35">
        <v>716.11</v>
      </c>
      <c r="C108" s="35">
        <v>33.479999999999997</v>
      </c>
      <c r="D108" s="35">
        <v>8.39</v>
      </c>
      <c r="E108" s="35">
        <f t="shared" si="14"/>
        <v>8.291146100000006</v>
      </c>
      <c r="G108" s="18">
        <f t="shared" si="15"/>
        <v>-9.885389999999461E-2</v>
      </c>
      <c r="H108" s="18">
        <f t="shared" si="16"/>
        <v>9.7720935452089343E-3</v>
      </c>
      <c r="J108" s="18">
        <f t="shared" si="17"/>
        <v>-16.006</v>
      </c>
      <c r="K108" s="18">
        <f t="shared" si="18"/>
        <v>256.19203600000003</v>
      </c>
    </row>
    <row r="109" spans="2:11" ht="14.25" customHeight="1" x14ac:dyDescent="0.35">
      <c r="B109" s="35">
        <v>824.1</v>
      </c>
      <c r="C109" s="35">
        <v>18.52</v>
      </c>
      <c r="D109" s="35">
        <v>31.82</v>
      </c>
      <c r="E109" s="35">
        <f t="shared" si="14"/>
        <v>30.567983800000007</v>
      </c>
      <c r="G109" s="18">
        <f t="shared" si="15"/>
        <v>-1.2520161999999928</v>
      </c>
      <c r="H109" s="18">
        <f t="shared" si="16"/>
        <v>1.567544565062422</v>
      </c>
      <c r="J109" s="18">
        <f t="shared" si="17"/>
        <v>7.4239999999999995</v>
      </c>
      <c r="K109" s="18">
        <f t="shared" si="18"/>
        <v>55.11577599999999</v>
      </c>
    </row>
    <row r="110" spans="2:11" ht="14.25" customHeight="1" x14ac:dyDescent="0.35">
      <c r="B110" s="35">
        <v>1019.29</v>
      </c>
      <c r="C110" s="35">
        <v>29.43</v>
      </c>
      <c r="D110" s="35">
        <v>25.26</v>
      </c>
      <c r="E110" s="35">
        <f t="shared" si="14"/>
        <v>25.605758299999991</v>
      </c>
      <c r="G110" s="18">
        <f t="shared" si="15"/>
        <v>0.3457582999999893</v>
      </c>
      <c r="H110" s="18">
        <f t="shared" si="16"/>
        <v>0.1195488020188826</v>
      </c>
      <c r="J110" s="18">
        <f t="shared" si="17"/>
        <v>0.86400000000000077</v>
      </c>
      <c r="K110" s="18">
        <f t="shared" si="18"/>
        <v>0.74649600000000138</v>
      </c>
    </row>
    <row r="111" spans="2:11" ht="14.25" customHeight="1" x14ac:dyDescent="0.35">
      <c r="B111" s="35">
        <v>840.08</v>
      </c>
      <c r="C111" s="35">
        <v>19.21</v>
      </c>
      <c r="D111" s="35">
        <v>29.77</v>
      </c>
      <c r="E111" s="35">
        <f t="shared" si="14"/>
        <v>30.403885600000002</v>
      </c>
      <c r="G111" s="18">
        <f t="shared" si="15"/>
        <v>0.63388560000000282</v>
      </c>
      <c r="H111" s="18">
        <f t="shared" si="16"/>
        <v>0.4018109538873636</v>
      </c>
      <c r="J111" s="18">
        <f t="shared" si="17"/>
        <v>5.3739999999999988</v>
      </c>
      <c r="K111" s="18">
        <f t="shared" si="18"/>
        <v>28.879875999999985</v>
      </c>
    </row>
    <row r="112" spans="2:11" ht="14.25" customHeight="1" x14ac:dyDescent="0.35">
      <c r="B112" s="35">
        <v>595.80999999999995</v>
      </c>
      <c r="C112" s="35">
        <v>24.13</v>
      </c>
      <c r="D112" s="35">
        <v>16.329999999999998</v>
      </c>
      <c r="E112" s="35">
        <f t="shared" si="14"/>
        <v>14.478945099999994</v>
      </c>
      <c r="G112" s="18">
        <f t="shared" si="15"/>
        <v>-1.8510549000000047</v>
      </c>
      <c r="H112" s="18">
        <f t="shared" si="16"/>
        <v>3.4264042428140273</v>
      </c>
      <c r="J112" s="18">
        <f t="shared" si="17"/>
        <v>-8.0660000000000025</v>
      </c>
      <c r="K112" s="18">
        <f t="shared" si="18"/>
        <v>65.060356000000041</v>
      </c>
    </row>
    <row r="113" spans="2:11" ht="14.25" customHeight="1" x14ac:dyDescent="0.35">
      <c r="B113" s="35">
        <v>740.48</v>
      </c>
      <c r="C113" s="35">
        <v>25.11</v>
      </c>
      <c r="D113" s="35">
        <v>19.64</v>
      </c>
      <c r="E113" s="35">
        <f t="shared" si="14"/>
        <v>19.269977600000004</v>
      </c>
      <c r="G113" s="18">
        <f t="shared" si="15"/>
        <v>-0.37002239999999631</v>
      </c>
      <c r="H113" s="18">
        <f t="shared" si="16"/>
        <v>0.13691657650175726</v>
      </c>
      <c r="J113" s="18">
        <f t="shared" si="17"/>
        <v>-4.7560000000000002</v>
      </c>
      <c r="K113" s="18">
        <f t="shared" si="18"/>
        <v>22.619536000000004</v>
      </c>
    </row>
    <row r="114" spans="2:11" ht="14.25" customHeight="1" x14ac:dyDescent="0.35">
      <c r="B114" s="35">
        <v>727.1</v>
      </c>
      <c r="C114" s="35">
        <v>21.08</v>
      </c>
      <c r="D114" s="35">
        <v>24.38</v>
      </c>
      <c r="E114" s="35">
        <f t="shared" si="14"/>
        <v>23.521648200000001</v>
      </c>
      <c r="G114" s="18">
        <f t="shared" si="15"/>
        <v>-0.85835179999999767</v>
      </c>
      <c r="H114" s="18">
        <f t="shared" si="16"/>
        <v>0.73676781256323598</v>
      </c>
      <c r="J114" s="18">
        <f t="shared" si="17"/>
        <v>-1.6000000000001791E-2</v>
      </c>
      <c r="K114" s="18">
        <f t="shared" si="18"/>
        <v>2.5600000000005729E-4</v>
      </c>
    </row>
    <row r="115" spans="2:11" ht="14.25" customHeight="1" x14ac:dyDescent="0.35">
      <c r="B115" s="35">
        <v>710.29</v>
      </c>
      <c r="C115" s="35">
        <v>26.86</v>
      </c>
      <c r="D115" s="35">
        <v>17.940000000000001</v>
      </c>
      <c r="E115" s="35">
        <f t="shared" si="14"/>
        <v>15.9408715</v>
      </c>
      <c r="G115" s="18">
        <f t="shared" si="15"/>
        <v>-1.9991285000000012</v>
      </c>
      <c r="H115" s="18">
        <f t="shared" si="16"/>
        <v>3.9965147595122548</v>
      </c>
      <c r="J115" s="18">
        <f t="shared" si="17"/>
        <v>-6.4559999999999995</v>
      </c>
      <c r="K115" s="18">
        <f t="shared" si="18"/>
        <v>41.679935999999991</v>
      </c>
    </row>
    <row r="116" spans="2:11" ht="14.25" customHeight="1" x14ac:dyDescent="0.35">
      <c r="B116" s="35">
        <v>615.85</v>
      </c>
      <c r="C116" s="35">
        <v>27.09</v>
      </c>
      <c r="D116" s="35">
        <v>13.84</v>
      </c>
      <c r="E116" s="35">
        <f t="shared" si="14"/>
        <v>11.776783099999996</v>
      </c>
      <c r="G116" s="18">
        <f t="shared" si="15"/>
        <v>-2.063216900000004</v>
      </c>
      <c r="H116" s="18">
        <f t="shared" si="16"/>
        <v>4.2568639764456266</v>
      </c>
      <c r="J116" s="18">
        <f t="shared" si="17"/>
        <v>-10.556000000000001</v>
      </c>
      <c r="K116" s="18">
        <f t="shared" si="18"/>
        <v>111.42913600000001</v>
      </c>
    </row>
    <row r="117" spans="2:11" ht="14.25" customHeight="1" x14ac:dyDescent="0.35">
      <c r="B117" s="35">
        <v>790.43</v>
      </c>
      <c r="C117" s="35">
        <v>23.39</v>
      </c>
      <c r="D117" s="35">
        <v>23.03</v>
      </c>
      <c r="E117" s="35">
        <f t="shared" si="14"/>
        <v>23.377245300000002</v>
      </c>
      <c r="G117" s="18">
        <f t="shared" si="15"/>
        <v>0.34724530000000087</v>
      </c>
      <c r="H117" s="18">
        <f t="shared" si="16"/>
        <v>0.1205792983720906</v>
      </c>
      <c r="J117" s="18">
        <f t="shared" si="17"/>
        <v>-1.3659999999999997</v>
      </c>
      <c r="K117" s="18">
        <f t="shared" si="18"/>
        <v>1.8659559999999991</v>
      </c>
    </row>
    <row r="118" spans="2:11" ht="14.25" customHeight="1" x14ac:dyDescent="0.35">
      <c r="B118" s="35">
        <v>813.68</v>
      </c>
      <c r="C118" s="35">
        <v>30.53</v>
      </c>
      <c r="D118" s="35">
        <v>15.12</v>
      </c>
      <c r="E118" s="35">
        <f t="shared" si="14"/>
        <v>15.8257464</v>
      </c>
      <c r="G118" s="18">
        <f t="shared" si="15"/>
        <v>0.70574640000000066</v>
      </c>
      <c r="H118" s="18">
        <f t="shared" si="16"/>
        <v>0.49807798111296092</v>
      </c>
      <c r="J118" s="18">
        <f t="shared" si="17"/>
        <v>-9.2760000000000016</v>
      </c>
      <c r="K118" s="18">
        <f t="shared" si="18"/>
        <v>86.044176000000036</v>
      </c>
    </row>
    <row r="119" spans="2:11" ht="14.25" customHeight="1" x14ac:dyDescent="0.35">
      <c r="B119" s="35">
        <v>1042.43</v>
      </c>
      <c r="C119" s="35">
        <v>20.72</v>
      </c>
      <c r="D119" s="35">
        <v>37.26</v>
      </c>
      <c r="E119" s="35">
        <f t="shared" si="14"/>
        <v>36.939124500000005</v>
      </c>
      <c r="G119" s="18">
        <f t="shared" si="15"/>
        <v>-0.32087549999999254</v>
      </c>
      <c r="H119" s="18">
        <f t="shared" si="16"/>
        <v>0.10296108650024521</v>
      </c>
      <c r="J119" s="18">
        <f t="shared" si="17"/>
        <v>12.863999999999997</v>
      </c>
      <c r="K119" s="18">
        <f t="shared" si="18"/>
        <v>165.48249599999994</v>
      </c>
    </row>
    <row r="120" spans="2:11" ht="14.25" customHeight="1" x14ac:dyDescent="0.35">
      <c r="B120" s="35">
        <v>1057.47</v>
      </c>
      <c r="C120" s="35">
        <v>21.27</v>
      </c>
      <c r="D120" s="35">
        <v>36.57</v>
      </c>
      <c r="E120" s="35">
        <f t="shared" si="14"/>
        <v>36.903154100000009</v>
      </c>
      <c r="G120" s="18">
        <f t="shared" si="15"/>
        <v>0.33315410000000867</v>
      </c>
      <c r="H120" s="18">
        <f t="shared" si="16"/>
        <v>0.11099165434681578</v>
      </c>
      <c r="J120" s="18">
        <f t="shared" si="17"/>
        <v>12.173999999999999</v>
      </c>
      <c r="K120" s="18">
        <f t="shared" si="18"/>
        <v>148.20627599999997</v>
      </c>
    </row>
    <row r="121" spans="2:11" ht="14.25" customHeight="1" x14ac:dyDescent="0.35">
      <c r="B121" s="35">
        <v>865.67</v>
      </c>
      <c r="C121" s="35">
        <v>24.03</v>
      </c>
      <c r="D121" s="35">
        <v>22.95</v>
      </c>
      <c r="E121" s="35">
        <f t="shared" si="14"/>
        <v>25.713654499999997</v>
      </c>
      <c r="G121" s="18">
        <f t="shared" si="15"/>
        <v>2.7636544999999977</v>
      </c>
      <c r="H121" s="18">
        <f t="shared" si="16"/>
        <v>7.6377861953702375</v>
      </c>
      <c r="J121" s="18">
        <f t="shared" si="17"/>
        <v>-1.4460000000000015</v>
      </c>
      <c r="K121" s="18">
        <f t="shared" si="18"/>
        <v>2.0909160000000044</v>
      </c>
    </row>
    <row r="122" spans="2:11" ht="14.25" customHeight="1" x14ac:dyDescent="0.35">
      <c r="B122" s="35">
        <v>822.44</v>
      </c>
      <c r="C122" s="35">
        <v>24.43</v>
      </c>
      <c r="D122" s="35">
        <v>25.49</v>
      </c>
      <c r="E122" s="35">
        <f t="shared" si="14"/>
        <v>23.4563068</v>
      </c>
      <c r="G122" s="18">
        <f t="shared" si="15"/>
        <v>-2.0336931999999983</v>
      </c>
      <c r="H122" s="18">
        <f t="shared" si="16"/>
        <v>4.1359080317262329</v>
      </c>
      <c r="J122" s="18">
        <f t="shared" si="17"/>
        <v>1.0939999999999976</v>
      </c>
      <c r="K122" s="18">
        <f t="shared" si="18"/>
        <v>1.1968359999999949</v>
      </c>
    </row>
    <row r="123" spans="2:11" ht="14.25" customHeight="1" x14ac:dyDescent="0.35">
      <c r="B123" s="35">
        <v>1044.75</v>
      </c>
      <c r="C123" s="35">
        <v>21.51</v>
      </c>
      <c r="D123" s="35">
        <v>36.01</v>
      </c>
      <c r="E123" s="35">
        <f t="shared" si="14"/>
        <v>36.0931949</v>
      </c>
      <c r="G123" s="18">
        <f t="shared" si="15"/>
        <v>8.3194900000002292E-2</v>
      </c>
      <c r="H123" s="18">
        <f t="shared" si="16"/>
        <v>6.9213913860103815E-3</v>
      </c>
      <c r="J123" s="18">
        <f t="shared" si="17"/>
        <v>11.613999999999997</v>
      </c>
      <c r="K123" s="18">
        <f t="shared" si="18"/>
        <v>134.88499599999994</v>
      </c>
    </row>
    <row r="124" spans="2:11" ht="14.25" customHeight="1" x14ac:dyDescent="0.35">
      <c r="B124" s="35">
        <v>1121.0999999999999</v>
      </c>
      <c r="C124" s="35">
        <v>33.619999999999997</v>
      </c>
      <c r="D124" s="35">
        <v>25.61</v>
      </c>
      <c r="E124" s="35">
        <f t="shared" si="14"/>
        <v>24.805837799999992</v>
      </c>
      <c r="G124" s="18">
        <f t="shared" si="15"/>
        <v>-0.80416220000000749</v>
      </c>
      <c r="H124" s="18">
        <f t="shared" si="16"/>
        <v>0.64667684390885205</v>
      </c>
      <c r="J124" s="18">
        <f t="shared" si="17"/>
        <v>1.2139999999999986</v>
      </c>
      <c r="K124" s="18">
        <f t="shared" si="18"/>
        <v>1.4737959999999968</v>
      </c>
    </row>
    <row r="125" spans="2:11" ht="14.25" customHeight="1" x14ac:dyDescent="0.35">
      <c r="B125" s="35">
        <v>972.44</v>
      </c>
      <c r="C125" s="35">
        <v>32.08</v>
      </c>
      <c r="D125" s="35">
        <v>18.649999999999999</v>
      </c>
      <c r="E125" s="35">
        <f t="shared" si="14"/>
        <v>20.517842800000004</v>
      </c>
      <c r="G125" s="18">
        <f t="shared" si="15"/>
        <v>1.8678428000000054</v>
      </c>
      <c r="H125" s="18">
        <f t="shared" si="16"/>
        <v>3.48883672551186</v>
      </c>
      <c r="J125" s="18">
        <f t="shared" si="17"/>
        <v>-5.7460000000000022</v>
      </c>
      <c r="K125" s="18">
        <f t="shared" si="18"/>
        <v>33.016516000000024</v>
      </c>
    </row>
    <row r="126" spans="2:11" ht="14.25" customHeight="1" x14ac:dyDescent="0.35">
      <c r="B126" s="35">
        <v>1060.3399999999999</v>
      </c>
      <c r="C126" s="35">
        <v>19.82</v>
      </c>
      <c r="D126" s="35">
        <v>40.57</v>
      </c>
      <c r="E126" s="35">
        <f t="shared" si="14"/>
        <v>38.749421399999989</v>
      </c>
      <c r="G126" s="18">
        <f t="shared" si="15"/>
        <v>-1.8205786000000117</v>
      </c>
      <c r="H126" s="18">
        <f t="shared" si="16"/>
        <v>3.3145064387780026</v>
      </c>
      <c r="J126" s="18">
        <f t="shared" si="17"/>
        <v>16.173999999999999</v>
      </c>
      <c r="K126" s="18">
        <f t="shared" si="18"/>
        <v>261.598276</v>
      </c>
    </row>
    <row r="127" spans="2:11" ht="14.25" customHeight="1" x14ac:dyDescent="0.35">
      <c r="B127" s="35">
        <v>1157.3800000000001</v>
      </c>
      <c r="C127" s="35">
        <v>24.28</v>
      </c>
      <c r="D127" s="35">
        <v>36.28</v>
      </c>
      <c r="E127" s="35">
        <f t="shared" si="14"/>
        <v>37.431249399999999</v>
      </c>
      <c r="G127" s="18">
        <f t="shared" si="15"/>
        <v>1.1512493999999975</v>
      </c>
      <c r="H127" s="18">
        <f t="shared" si="16"/>
        <v>1.3253751810003542</v>
      </c>
      <c r="J127" s="18">
        <f t="shared" si="17"/>
        <v>11.884</v>
      </c>
      <c r="K127" s="18">
        <f t="shared" si="18"/>
        <v>141.229456</v>
      </c>
    </row>
    <row r="128" spans="2:11" ht="14.25" customHeight="1" x14ac:dyDescent="0.35">
      <c r="B128" s="35">
        <v>528.46</v>
      </c>
      <c r="C128" s="35">
        <v>21.96</v>
      </c>
      <c r="D128" s="35">
        <v>14.63</v>
      </c>
      <c r="E128" s="35">
        <f t="shared" si="14"/>
        <v>14.290917800000006</v>
      </c>
      <c r="G128" s="18">
        <f t="shared" si="15"/>
        <v>-0.33908219999999467</v>
      </c>
      <c r="H128" s="18">
        <f t="shared" si="16"/>
        <v>0.11497673835683639</v>
      </c>
      <c r="J128" s="18">
        <f t="shared" si="17"/>
        <v>-9.766</v>
      </c>
      <c r="K128" s="18">
        <f t="shared" si="18"/>
        <v>95.374756000000005</v>
      </c>
    </row>
    <row r="129" spans="2:11" ht="14.25" customHeight="1" x14ac:dyDescent="0.35">
      <c r="B129" s="35">
        <v>1112.97</v>
      </c>
      <c r="C129" s="35">
        <v>25.67</v>
      </c>
      <c r="D129" s="35">
        <v>31.61</v>
      </c>
      <c r="E129" s="35">
        <f t="shared" si="14"/>
        <v>33.945455100000004</v>
      </c>
      <c r="G129" s="18">
        <f t="shared" si="15"/>
        <v>2.3354551000000043</v>
      </c>
      <c r="H129" s="18">
        <f t="shared" si="16"/>
        <v>5.4543505241160304</v>
      </c>
      <c r="J129" s="18">
        <f t="shared" si="17"/>
        <v>7.2139999999999986</v>
      </c>
      <c r="K129" s="18">
        <f t="shared" si="18"/>
        <v>52.041795999999984</v>
      </c>
    </row>
    <row r="130" spans="2:11" ht="14.25" customHeight="1" x14ac:dyDescent="0.35">
      <c r="B130" s="35">
        <v>693.59</v>
      </c>
      <c r="C130" s="35">
        <v>22.7</v>
      </c>
      <c r="D130" s="35">
        <v>20.260000000000002</v>
      </c>
      <c r="E130" s="35">
        <f t="shared" si="14"/>
        <v>20.210720100000003</v>
      </c>
      <c r="G130" s="18">
        <f t="shared" si="15"/>
        <v>-4.9279899999998378E-2</v>
      </c>
      <c r="H130" s="18">
        <f t="shared" si="16"/>
        <v>2.42850854400984E-3</v>
      </c>
      <c r="J130" s="18">
        <f t="shared" si="17"/>
        <v>-4.1359999999999992</v>
      </c>
      <c r="K130" s="18">
        <f t="shared" si="18"/>
        <v>17.106495999999993</v>
      </c>
    </row>
    <row r="131" spans="2:11" ht="14.25" customHeight="1" x14ac:dyDescent="0.35">
      <c r="B131" s="35">
        <v>833.04</v>
      </c>
      <c r="C131" s="35">
        <v>26.53</v>
      </c>
      <c r="D131" s="35">
        <v>21.14</v>
      </c>
      <c r="E131" s="35">
        <f t="shared" si="14"/>
        <v>21.390224800000002</v>
      </c>
      <c r="G131" s="18">
        <f t="shared" si="15"/>
        <v>0.25022480000000158</v>
      </c>
      <c r="H131" s="18">
        <f t="shared" si="16"/>
        <v>6.261245053504079E-2</v>
      </c>
      <c r="J131" s="18">
        <f t="shared" si="17"/>
        <v>-3.2560000000000002</v>
      </c>
      <c r="K131" s="18">
        <f t="shared" si="18"/>
        <v>10.601536000000001</v>
      </c>
    </row>
    <row r="132" spans="2:11" ht="14.25" customHeight="1" x14ac:dyDescent="0.35">
      <c r="B132" s="35">
        <v>1057.73</v>
      </c>
      <c r="C132" s="35">
        <v>33.68</v>
      </c>
      <c r="D132" s="35">
        <v>21.61</v>
      </c>
      <c r="E132" s="35">
        <f t="shared" si="14"/>
        <v>22.124121899999999</v>
      </c>
      <c r="G132" s="18">
        <f t="shared" si="15"/>
        <v>0.51412189999999924</v>
      </c>
      <c r="H132" s="18">
        <f t="shared" si="16"/>
        <v>0.26432132805960923</v>
      </c>
      <c r="J132" s="18">
        <f t="shared" si="17"/>
        <v>-2.7860000000000014</v>
      </c>
      <c r="K132" s="18">
        <f t="shared" si="18"/>
        <v>7.7617960000000075</v>
      </c>
    </row>
    <row r="133" spans="2:11" ht="14.25" customHeight="1" x14ac:dyDescent="0.35">
      <c r="B133" s="35">
        <v>1002.07</v>
      </c>
      <c r="C133" s="35">
        <v>24.5</v>
      </c>
      <c r="D133" s="35">
        <v>31.34</v>
      </c>
      <c r="E133" s="35">
        <f t="shared" si="14"/>
        <v>30.771843300000004</v>
      </c>
      <c r="G133" s="18">
        <f t="shared" si="15"/>
        <v>-0.56815669999999585</v>
      </c>
      <c r="H133" s="18">
        <f t="shared" si="16"/>
        <v>0.32280203575488531</v>
      </c>
      <c r="J133" s="18">
        <f t="shared" si="17"/>
        <v>6.9439999999999991</v>
      </c>
      <c r="K133" s="18">
        <f t="shared" si="18"/>
        <v>48.219135999999985</v>
      </c>
    </row>
    <row r="134" spans="2:11" ht="14.25" customHeight="1" x14ac:dyDescent="0.35">
      <c r="B134" s="35">
        <v>603</v>
      </c>
      <c r="C134" s="35">
        <v>29.05</v>
      </c>
      <c r="D134" s="35">
        <v>9.35</v>
      </c>
      <c r="E134" s="35">
        <f t="shared" si="14"/>
        <v>8.9116420000000005</v>
      </c>
      <c r="G134" s="18">
        <f t="shared" si="15"/>
        <v>-0.43835799999999914</v>
      </c>
      <c r="H134" s="18">
        <f t="shared" si="16"/>
        <v>0.19215773616399925</v>
      </c>
      <c r="J134" s="18">
        <f t="shared" si="17"/>
        <v>-15.046000000000001</v>
      </c>
      <c r="K134" s="18">
        <f t="shared" si="18"/>
        <v>226.38211600000002</v>
      </c>
    </row>
    <row r="135" spans="2:11" ht="14.25" customHeight="1" x14ac:dyDescent="0.35">
      <c r="B135" s="35">
        <v>961.12</v>
      </c>
      <c r="C135" s="35">
        <v>28.13</v>
      </c>
      <c r="D135" s="35">
        <v>26.16</v>
      </c>
      <c r="E135" s="35">
        <f t="shared" si="14"/>
        <v>24.759023999999997</v>
      </c>
      <c r="G135" s="18">
        <f t="shared" si="15"/>
        <v>-1.4009760000000036</v>
      </c>
      <c r="H135" s="18">
        <f t="shared" si="16"/>
        <v>1.96273375257601</v>
      </c>
      <c r="J135" s="18">
        <f t="shared" si="17"/>
        <v>1.7639999999999993</v>
      </c>
      <c r="K135" s="18">
        <f t="shared" si="18"/>
        <v>3.1116959999999976</v>
      </c>
    </row>
    <row r="136" spans="2:11" ht="14.25" customHeight="1" x14ac:dyDescent="0.35">
      <c r="B136" s="35"/>
      <c r="C136" s="35"/>
      <c r="D136" s="35"/>
      <c r="E136" s="35"/>
    </row>
    <row r="137" spans="2:11" ht="14.25" customHeight="1" x14ac:dyDescent="0.35">
      <c r="B137" s="35"/>
      <c r="C137" s="35"/>
      <c r="D137" s="35"/>
      <c r="E137" s="35"/>
    </row>
    <row r="138" spans="2:11" ht="14.25" customHeight="1" x14ac:dyDescent="0.35">
      <c r="B138" s="35"/>
      <c r="C138" s="35"/>
      <c r="D138" s="35"/>
      <c r="E138" s="35"/>
    </row>
    <row r="139" spans="2:11" ht="14.25" customHeight="1" x14ac:dyDescent="0.35">
      <c r="B139" s="35"/>
      <c r="C139" s="35"/>
      <c r="D139" s="35"/>
      <c r="E139" s="35"/>
    </row>
    <row r="140" spans="2:11" ht="14.25" customHeight="1" x14ac:dyDescent="0.35">
      <c r="B140" s="35"/>
      <c r="C140" s="35"/>
      <c r="D140" s="35"/>
      <c r="E140" s="35"/>
    </row>
    <row r="141" spans="2:11" ht="14.25" customHeight="1" x14ac:dyDescent="0.35">
      <c r="B141" s="35"/>
      <c r="C141" s="35"/>
      <c r="D141" s="35"/>
      <c r="E141" s="35"/>
    </row>
    <row r="142" spans="2:11" ht="14.25" customHeight="1" x14ac:dyDescent="0.35">
      <c r="B142" s="35" t="s">
        <v>59</v>
      </c>
      <c r="C142" s="35"/>
      <c r="D142" s="35"/>
      <c r="E142" s="35"/>
    </row>
    <row r="143" spans="2:11" ht="14.25" customHeight="1" x14ac:dyDescent="0.35">
      <c r="B143" s="21" t="s">
        <v>60</v>
      </c>
      <c r="C143" s="35"/>
      <c r="D143" s="35"/>
      <c r="E143" s="35"/>
    </row>
    <row r="144" spans="2:11" ht="14.25" customHeight="1" x14ac:dyDescent="0.35">
      <c r="B144" s="35"/>
      <c r="C144" s="35"/>
      <c r="D144" s="35"/>
      <c r="E144" s="35"/>
    </row>
    <row r="145" spans="2:14" ht="14.25" customHeight="1" x14ac:dyDescent="0.35">
      <c r="B145" s="21" t="s">
        <v>8</v>
      </c>
      <c r="C145" s="21" t="s">
        <v>9</v>
      </c>
      <c r="D145" s="21" t="s">
        <v>10</v>
      </c>
      <c r="E145" s="21" t="s">
        <v>54</v>
      </c>
      <c r="F145" s="21" t="s">
        <v>129</v>
      </c>
      <c r="G145" s="21" t="s">
        <v>130</v>
      </c>
      <c r="H145" s="21" t="s">
        <v>131</v>
      </c>
      <c r="I145" s="21" t="s">
        <v>132</v>
      </c>
      <c r="J145" s="21" t="s">
        <v>133</v>
      </c>
      <c r="K145" s="21" t="s">
        <v>134</v>
      </c>
      <c r="L145" s="21" t="s">
        <v>135</v>
      </c>
      <c r="M145" s="21" t="s">
        <v>124</v>
      </c>
      <c r="N145" s="21" t="s">
        <v>125</v>
      </c>
    </row>
    <row r="146" spans="2:14" ht="14.25" customHeight="1" x14ac:dyDescent="0.35">
      <c r="B146" s="35">
        <v>795.66</v>
      </c>
      <c r="C146" s="35">
        <v>18.39</v>
      </c>
      <c r="D146" s="35">
        <v>30.2</v>
      </c>
      <c r="E146" s="35">
        <f t="shared" ref="E146:E195" si="19">18.4326+0.04198*B146-1.20537*C146</f>
        <v>29.667652500000003</v>
      </c>
      <c r="F146" s="18">
        <f>AVERAGE(D146:D195)</f>
        <v>23.662199999999999</v>
      </c>
      <c r="G146" s="18">
        <f t="shared" ref="G146:G195" si="20">E146-D146</f>
        <v>-0.53234749999999664</v>
      </c>
      <c r="H146" s="18">
        <f t="shared" ref="H146:H195" si="21">G146*G146</f>
        <v>0.28339386075624645</v>
      </c>
      <c r="I146" s="18">
        <f>SUM(H146:H195)</f>
        <v>77.233432555024208</v>
      </c>
      <c r="J146" s="18">
        <f t="shared" ref="J146:J195" si="22">D146-$F$146</f>
        <v>6.5378000000000007</v>
      </c>
      <c r="K146" s="18">
        <f t="shared" ref="K146:K195" si="23">J146*J146</f>
        <v>42.742828840000008</v>
      </c>
      <c r="L146" s="18">
        <f>SUM(K146:K195)</f>
        <v>4401.5962580000005</v>
      </c>
      <c r="M146" s="18">
        <f>I146/L146</f>
        <v>1.7546687162560786E-2</v>
      </c>
      <c r="N146" s="18">
        <f>1-M146</f>
        <v>0.9824533128374392</v>
      </c>
    </row>
    <row r="147" spans="2:14" ht="14.25" customHeight="1" x14ac:dyDescent="0.35">
      <c r="B147" s="35">
        <v>798.52</v>
      </c>
      <c r="C147" s="35">
        <v>26.92</v>
      </c>
      <c r="D147" s="35">
        <v>20.85</v>
      </c>
      <c r="E147" s="35">
        <f t="shared" si="19"/>
        <v>19.505909199999998</v>
      </c>
      <c r="G147" s="18">
        <f t="shared" si="20"/>
        <v>-1.3440908000000036</v>
      </c>
      <c r="H147" s="18">
        <f t="shared" si="21"/>
        <v>1.8065800786446495</v>
      </c>
      <c r="J147" s="18">
        <f t="shared" si="22"/>
        <v>-2.8121999999999971</v>
      </c>
      <c r="K147" s="18">
        <f t="shared" si="23"/>
        <v>7.9084688399999843</v>
      </c>
    </row>
    <row r="148" spans="2:14" ht="14.25" customHeight="1" x14ac:dyDescent="0.35">
      <c r="B148" s="35">
        <v>944.07</v>
      </c>
      <c r="C148" s="35">
        <v>29.84</v>
      </c>
      <c r="D148" s="35">
        <v>21.28</v>
      </c>
      <c r="E148" s="35">
        <f t="shared" si="19"/>
        <v>22.096417800000005</v>
      </c>
      <c r="G148" s="18">
        <f t="shared" si="20"/>
        <v>0.81641780000000352</v>
      </c>
      <c r="H148" s="18">
        <f t="shared" si="21"/>
        <v>0.66653802415684571</v>
      </c>
      <c r="J148" s="18">
        <f t="shared" si="22"/>
        <v>-2.3821999999999974</v>
      </c>
      <c r="K148" s="18">
        <f t="shared" si="23"/>
        <v>5.674876839999988</v>
      </c>
    </row>
    <row r="149" spans="2:14" ht="14.25" customHeight="1" x14ac:dyDescent="0.35">
      <c r="B149" s="35">
        <v>866.03</v>
      </c>
      <c r="C149" s="35">
        <v>25.26</v>
      </c>
      <c r="D149" s="35">
        <v>24.07</v>
      </c>
      <c r="E149" s="35">
        <f t="shared" si="19"/>
        <v>24.3408932</v>
      </c>
      <c r="G149" s="18">
        <f t="shared" si="20"/>
        <v>0.27089319999999972</v>
      </c>
      <c r="H149" s="18">
        <f t="shared" si="21"/>
        <v>7.3383125806239846E-2</v>
      </c>
      <c r="J149" s="18">
        <f t="shared" si="22"/>
        <v>0.40780000000000172</v>
      </c>
      <c r="K149" s="18">
        <f t="shared" si="23"/>
        <v>0.16630084000000139</v>
      </c>
    </row>
    <row r="150" spans="2:14" ht="14.25" customHeight="1" x14ac:dyDescent="0.35">
      <c r="B150" s="35">
        <v>790.42</v>
      </c>
      <c r="C150" s="35">
        <v>20.29</v>
      </c>
      <c r="D150" s="35">
        <v>25.57</v>
      </c>
      <c r="E150" s="35">
        <f t="shared" si="19"/>
        <v>27.157474300000004</v>
      </c>
      <c r="G150" s="18">
        <f t="shared" si="20"/>
        <v>1.5874743000000038</v>
      </c>
      <c r="H150" s="18">
        <f t="shared" si="21"/>
        <v>2.5200746531605018</v>
      </c>
      <c r="J150" s="18">
        <f t="shared" si="22"/>
        <v>1.9078000000000017</v>
      </c>
      <c r="K150" s="18">
        <f t="shared" si="23"/>
        <v>3.6397008400000064</v>
      </c>
    </row>
    <row r="151" spans="2:14" ht="14.25" customHeight="1" x14ac:dyDescent="0.35">
      <c r="B151" s="35">
        <v>501</v>
      </c>
      <c r="C151" s="35">
        <v>23.63</v>
      </c>
      <c r="D151" s="35">
        <v>11.2</v>
      </c>
      <c r="E151" s="35">
        <f t="shared" si="19"/>
        <v>10.9816869</v>
      </c>
      <c r="G151" s="18">
        <f t="shared" si="20"/>
        <v>-0.21831309999999959</v>
      </c>
      <c r="H151" s="18">
        <f t="shared" si="21"/>
        <v>4.766060963160982E-2</v>
      </c>
      <c r="J151" s="18">
        <f t="shared" si="22"/>
        <v>-12.462199999999999</v>
      </c>
      <c r="K151" s="18">
        <f t="shared" si="23"/>
        <v>155.30642884</v>
      </c>
    </row>
    <row r="152" spans="2:14" ht="14.25" customHeight="1" x14ac:dyDescent="0.35">
      <c r="B152" s="35">
        <v>564.58000000000004</v>
      </c>
      <c r="C152" s="35">
        <v>28.04</v>
      </c>
      <c r="D152" s="35">
        <v>9.83</v>
      </c>
      <c r="E152" s="35">
        <f t="shared" si="19"/>
        <v>8.3350936000000075</v>
      </c>
      <c r="G152" s="18">
        <f t="shared" si="20"/>
        <v>-1.4949063999999925</v>
      </c>
      <c r="H152" s="18">
        <f t="shared" si="21"/>
        <v>2.2347451447609377</v>
      </c>
      <c r="J152" s="18">
        <f t="shared" si="22"/>
        <v>-13.832199999999998</v>
      </c>
      <c r="K152" s="18">
        <f t="shared" si="23"/>
        <v>191.32975683999996</v>
      </c>
    </row>
    <row r="153" spans="2:14" ht="14.25" customHeight="1" x14ac:dyDescent="0.35">
      <c r="B153" s="35">
        <v>996.58</v>
      </c>
      <c r="C153" s="35">
        <v>33.99</v>
      </c>
      <c r="D153" s="35">
        <v>18.62</v>
      </c>
      <c r="E153" s="35">
        <f t="shared" si="19"/>
        <v>19.2985021</v>
      </c>
      <c r="G153" s="18">
        <f t="shared" si="20"/>
        <v>0.67850209999999933</v>
      </c>
      <c r="H153" s="18">
        <f t="shared" si="21"/>
        <v>0.46036509970440909</v>
      </c>
      <c r="J153" s="18">
        <f t="shared" si="22"/>
        <v>-5.0421999999999976</v>
      </c>
      <c r="K153" s="18">
        <f t="shared" si="23"/>
        <v>25.423780839999974</v>
      </c>
    </row>
    <row r="154" spans="2:14" ht="14.25" customHeight="1" x14ac:dyDescent="0.35">
      <c r="B154" s="35">
        <v>867.04</v>
      </c>
      <c r="C154" s="35">
        <v>34.869999999999997</v>
      </c>
      <c r="D154" s="35">
        <v>13.55</v>
      </c>
      <c r="E154" s="35">
        <f t="shared" si="19"/>
        <v>12.799687300000002</v>
      </c>
      <c r="G154" s="18">
        <f t="shared" si="20"/>
        <v>-0.7503126999999985</v>
      </c>
      <c r="H154" s="18">
        <f t="shared" si="21"/>
        <v>0.5629691477812877</v>
      </c>
      <c r="J154" s="18">
        <f t="shared" si="22"/>
        <v>-10.112199999999998</v>
      </c>
      <c r="K154" s="18">
        <f t="shared" si="23"/>
        <v>102.25658883999996</v>
      </c>
    </row>
    <row r="155" spans="2:14" ht="14.25" customHeight="1" x14ac:dyDescent="0.35">
      <c r="B155" s="35">
        <v>987.31</v>
      </c>
      <c r="C155" s="35">
        <v>22.11</v>
      </c>
      <c r="D155" s="35">
        <v>32.1</v>
      </c>
      <c r="E155" s="35">
        <f t="shared" si="19"/>
        <v>33.229143100000002</v>
      </c>
      <c r="G155" s="18">
        <f t="shared" si="20"/>
        <v>1.1291431000000003</v>
      </c>
      <c r="H155" s="18">
        <f t="shared" si="21"/>
        <v>1.2749641402776106</v>
      </c>
      <c r="J155" s="18">
        <f t="shared" si="22"/>
        <v>8.4378000000000029</v>
      </c>
      <c r="K155" s="18">
        <f t="shared" si="23"/>
        <v>71.196468840000051</v>
      </c>
    </row>
    <row r="156" spans="2:14" ht="14.25" customHeight="1" x14ac:dyDescent="0.35">
      <c r="B156" s="35">
        <v>1168.83</v>
      </c>
      <c r="C156" s="35">
        <v>18.18</v>
      </c>
      <c r="D156" s="35">
        <v>44.05</v>
      </c>
      <c r="E156" s="35">
        <f t="shared" si="19"/>
        <v>45.586456799999993</v>
      </c>
      <c r="G156" s="18">
        <f t="shared" si="20"/>
        <v>1.5364567999999963</v>
      </c>
      <c r="H156" s="18">
        <f t="shared" si="21"/>
        <v>2.3606994982662286</v>
      </c>
      <c r="J156" s="18">
        <f t="shared" si="22"/>
        <v>20.387799999999999</v>
      </c>
      <c r="K156" s="18">
        <f t="shared" si="23"/>
        <v>415.66238883999995</v>
      </c>
    </row>
    <row r="157" spans="2:14" ht="14.25" customHeight="1" x14ac:dyDescent="0.35">
      <c r="B157" s="35">
        <v>978.04</v>
      </c>
      <c r="C157" s="35">
        <v>32.119999999999997</v>
      </c>
      <c r="D157" s="35">
        <v>20.64</v>
      </c>
      <c r="E157" s="35">
        <f t="shared" si="19"/>
        <v>20.774234800000002</v>
      </c>
      <c r="G157" s="18">
        <f t="shared" si="20"/>
        <v>0.13423480000000154</v>
      </c>
      <c r="H157" s="18">
        <f t="shared" si="21"/>
        <v>1.8018981531040413E-2</v>
      </c>
      <c r="J157" s="18">
        <f t="shared" si="22"/>
        <v>-3.022199999999998</v>
      </c>
      <c r="K157" s="18">
        <f t="shared" si="23"/>
        <v>9.1336928399999877</v>
      </c>
    </row>
    <row r="158" spans="2:14" ht="14.25" customHeight="1" x14ac:dyDescent="0.35">
      <c r="B158" s="35">
        <v>537.19000000000005</v>
      </c>
      <c r="C158" s="35">
        <v>33.75</v>
      </c>
      <c r="D158" s="35">
        <v>0.69</v>
      </c>
      <c r="E158" s="35">
        <f t="shared" si="19"/>
        <v>0.30259870000000433</v>
      </c>
      <c r="G158" s="18">
        <f t="shared" si="20"/>
        <v>-0.38740129999999562</v>
      </c>
      <c r="H158" s="18">
        <f t="shared" si="21"/>
        <v>0.15007976724168662</v>
      </c>
      <c r="J158" s="18">
        <f t="shared" si="22"/>
        <v>-22.972199999999997</v>
      </c>
      <c r="K158" s="18">
        <f t="shared" si="23"/>
        <v>527.72197283999992</v>
      </c>
    </row>
    <row r="159" spans="2:14" ht="14.25" customHeight="1" x14ac:dyDescent="0.35">
      <c r="B159" s="35">
        <v>716.2</v>
      </c>
      <c r="C159" s="35">
        <v>25.8</v>
      </c>
      <c r="D159" s="35">
        <v>18.579999999999998</v>
      </c>
      <c r="E159" s="35">
        <f t="shared" si="19"/>
        <v>17.400130000000001</v>
      </c>
      <c r="G159" s="18">
        <f t="shared" si="20"/>
        <v>-1.1798699999999975</v>
      </c>
      <c r="H159" s="18">
        <f t="shared" si="21"/>
        <v>1.3920932168999942</v>
      </c>
      <c r="J159" s="18">
        <f t="shared" si="22"/>
        <v>-5.0822000000000003</v>
      </c>
      <c r="K159" s="18">
        <f t="shared" si="23"/>
        <v>25.828756840000004</v>
      </c>
    </row>
    <row r="160" spans="2:14" ht="14.25" customHeight="1" x14ac:dyDescent="0.35">
      <c r="B160" s="35">
        <v>914.82</v>
      </c>
      <c r="C160" s="35">
        <v>31.11</v>
      </c>
      <c r="D160" s="35">
        <v>19.52</v>
      </c>
      <c r="E160" s="35">
        <f t="shared" si="19"/>
        <v>19.337682900000004</v>
      </c>
      <c r="G160" s="18">
        <f t="shared" si="20"/>
        <v>-0.18231709999999524</v>
      </c>
      <c r="H160" s="18">
        <f t="shared" si="21"/>
        <v>3.3239524952408263E-2</v>
      </c>
      <c r="J160" s="18">
        <f t="shared" si="22"/>
        <v>-4.142199999999999</v>
      </c>
      <c r="K160" s="18">
        <f t="shared" si="23"/>
        <v>17.157820839999992</v>
      </c>
    </row>
    <row r="161" spans="2:11" ht="14.25" customHeight="1" x14ac:dyDescent="0.35">
      <c r="B161" s="35">
        <v>664.58</v>
      </c>
      <c r="C161" s="35">
        <v>32.729999999999997</v>
      </c>
      <c r="D161" s="35">
        <v>9.92</v>
      </c>
      <c r="E161" s="35">
        <f t="shared" si="19"/>
        <v>6.8799083000000039</v>
      </c>
      <c r="G161" s="18">
        <f t="shared" si="20"/>
        <v>-3.0400916999999961</v>
      </c>
      <c r="H161" s="18">
        <f t="shared" si="21"/>
        <v>9.2421575444088653</v>
      </c>
      <c r="J161" s="18">
        <f t="shared" si="22"/>
        <v>-13.742199999999999</v>
      </c>
      <c r="K161" s="18">
        <f t="shared" si="23"/>
        <v>188.84806083999996</v>
      </c>
    </row>
    <row r="162" spans="2:11" ht="14.25" customHeight="1" x14ac:dyDescent="0.35">
      <c r="B162" s="35">
        <v>1175.48</v>
      </c>
      <c r="C162" s="35">
        <v>28.36</v>
      </c>
      <c r="D162" s="35">
        <v>32.65</v>
      </c>
      <c r="E162" s="35">
        <f t="shared" si="19"/>
        <v>33.594957199999996</v>
      </c>
      <c r="G162" s="18">
        <f t="shared" si="20"/>
        <v>0.9449571999999975</v>
      </c>
      <c r="H162" s="18">
        <f t="shared" si="21"/>
        <v>0.89294410983183525</v>
      </c>
      <c r="J162" s="18">
        <f t="shared" si="22"/>
        <v>8.9878</v>
      </c>
      <c r="K162" s="18">
        <f t="shared" si="23"/>
        <v>80.780548839999994</v>
      </c>
    </row>
    <row r="163" spans="2:11" ht="14.25" customHeight="1" x14ac:dyDescent="0.35">
      <c r="B163" s="35">
        <v>1161.53</v>
      </c>
      <c r="C163" s="35">
        <v>32.83</v>
      </c>
      <c r="D163" s="35">
        <v>26.72</v>
      </c>
      <c r="E163" s="35">
        <f t="shared" si="19"/>
        <v>27.621332300000006</v>
      </c>
      <c r="G163" s="18">
        <f t="shared" si="20"/>
        <v>0.90133230000000708</v>
      </c>
      <c r="H163" s="18">
        <f t="shared" si="21"/>
        <v>0.81239991502330278</v>
      </c>
      <c r="J163" s="18">
        <f t="shared" si="22"/>
        <v>3.0578000000000003</v>
      </c>
      <c r="K163" s="18">
        <f t="shared" si="23"/>
        <v>9.3501408400000017</v>
      </c>
    </row>
    <row r="164" spans="2:11" ht="14.25" customHeight="1" x14ac:dyDescent="0.35">
      <c r="B164" s="35">
        <v>1093.8800000000001</v>
      </c>
      <c r="C164" s="35">
        <v>18.41</v>
      </c>
      <c r="D164" s="35">
        <v>40.11</v>
      </c>
      <c r="E164" s="35">
        <f t="shared" si="19"/>
        <v>42.162820700000012</v>
      </c>
      <c r="G164" s="18">
        <f t="shared" si="20"/>
        <v>2.0528207000000123</v>
      </c>
      <c r="H164" s="18">
        <f t="shared" si="21"/>
        <v>4.2140728263485405</v>
      </c>
      <c r="J164" s="18">
        <f t="shared" si="22"/>
        <v>16.447800000000001</v>
      </c>
      <c r="K164" s="18">
        <f t="shared" si="23"/>
        <v>270.53012484000004</v>
      </c>
    </row>
    <row r="165" spans="2:11" ht="14.25" customHeight="1" x14ac:dyDescent="0.35">
      <c r="B165" s="35">
        <v>830.63</v>
      </c>
      <c r="C165" s="35">
        <v>22.62</v>
      </c>
      <c r="D165" s="35">
        <v>26.12</v>
      </c>
      <c r="E165" s="35">
        <f t="shared" si="19"/>
        <v>26.036978000000005</v>
      </c>
      <c r="G165" s="18">
        <f t="shared" si="20"/>
        <v>-8.3021999999996154E-2</v>
      </c>
      <c r="H165" s="18">
        <f t="shared" si="21"/>
        <v>6.8926524839993614E-3</v>
      </c>
      <c r="J165" s="18">
        <f t="shared" si="22"/>
        <v>2.4578000000000024</v>
      </c>
      <c r="K165" s="18">
        <f t="shared" si="23"/>
        <v>6.0407808400000116</v>
      </c>
    </row>
    <row r="166" spans="2:11" ht="14.25" customHeight="1" x14ac:dyDescent="0.35">
      <c r="B166" s="35">
        <v>1089.03</v>
      </c>
      <c r="C166" s="35">
        <v>22.71</v>
      </c>
      <c r="D166" s="35">
        <v>37.33</v>
      </c>
      <c r="E166" s="35">
        <f t="shared" si="19"/>
        <v>36.776126700000006</v>
      </c>
      <c r="G166" s="18">
        <f t="shared" si="20"/>
        <v>-0.55387329999999224</v>
      </c>
      <c r="H166" s="18">
        <f t="shared" si="21"/>
        <v>0.30677563245288142</v>
      </c>
      <c r="J166" s="18">
        <f t="shared" si="22"/>
        <v>13.6678</v>
      </c>
      <c r="K166" s="18">
        <f t="shared" si="23"/>
        <v>186.80875684</v>
      </c>
    </row>
    <row r="167" spans="2:11" ht="14.25" customHeight="1" x14ac:dyDescent="0.35">
      <c r="B167" s="35">
        <v>591.78</v>
      </c>
      <c r="C167" s="35">
        <v>20.05</v>
      </c>
      <c r="D167" s="35">
        <v>18.5</v>
      </c>
      <c r="E167" s="35">
        <f t="shared" si="19"/>
        <v>19.107855900000001</v>
      </c>
      <c r="G167" s="18">
        <f t="shared" si="20"/>
        <v>0.60785590000000056</v>
      </c>
      <c r="H167" s="18">
        <f t="shared" si="21"/>
        <v>0.3694887951648107</v>
      </c>
      <c r="J167" s="18">
        <f t="shared" si="22"/>
        <v>-5.1621999999999986</v>
      </c>
      <c r="K167" s="18">
        <f t="shared" si="23"/>
        <v>26.648308839999984</v>
      </c>
    </row>
    <row r="168" spans="2:11" ht="14.25" customHeight="1" x14ac:dyDescent="0.35">
      <c r="B168" s="35">
        <v>716.11</v>
      </c>
      <c r="C168" s="35">
        <v>33.479999999999997</v>
      </c>
      <c r="D168" s="35">
        <v>8.39</v>
      </c>
      <c r="E168" s="35">
        <f t="shared" si="19"/>
        <v>8.1391102000000046</v>
      </c>
      <c r="G168" s="18">
        <f t="shared" si="20"/>
        <v>-0.25088979999999594</v>
      </c>
      <c r="H168" s="18">
        <f t="shared" si="21"/>
        <v>6.2945691744037968E-2</v>
      </c>
      <c r="J168" s="18">
        <f t="shared" si="22"/>
        <v>-15.272199999999998</v>
      </c>
      <c r="K168" s="18">
        <f t="shared" si="23"/>
        <v>233.24009283999993</v>
      </c>
    </row>
    <row r="169" spans="2:11" ht="14.25" customHeight="1" x14ac:dyDescent="0.35">
      <c r="B169" s="35">
        <v>824.1</v>
      </c>
      <c r="C169" s="35">
        <v>18.52</v>
      </c>
      <c r="D169" s="35">
        <v>31.82</v>
      </c>
      <c r="E169" s="35">
        <f t="shared" si="19"/>
        <v>30.704865600000005</v>
      </c>
      <c r="G169" s="18">
        <f t="shared" si="20"/>
        <v>-1.1151343999999952</v>
      </c>
      <c r="H169" s="18">
        <f t="shared" si="21"/>
        <v>1.2435247300633492</v>
      </c>
      <c r="J169" s="18">
        <f t="shared" si="22"/>
        <v>8.1578000000000017</v>
      </c>
      <c r="K169" s="18">
        <f t="shared" si="23"/>
        <v>66.549700840000028</v>
      </c>
    </row>
    <row r="170" spans="2:11" ht="14.25" customHeight="1" x14ac:dyDescent="0.35">
      <c r="B170" s="35">
        <v>1019.29</v>
      </c>
      <c r="C170" s="35">
        <v>29.43</v>
      </c>
      <c r="D170" s="35">
        <v>25.26</v>
      </c>
      <c r="E170" s="35">
        <f t="shared" si="19"/>
        <v>25.748355100000005</v>
      </c>
      <c r="G170" s="18">
        <f t="shared" si="20"/>
        <v>0.48835510000000326</v>
      </c>
      <c r="H170" s="18">
        <f t="shared" si="21"/>
        <v>0.23849070369601319</v>
      </c>
      <c r="J170" s="18">
        <f t="shared" si="22"/>
        <v>1.597800000000003</v>
      </c>
      <c r="K170" s="18">
        <f t="shared" si="23"/>
        <v>2.5529648400000098</v>
      </c>
    </row>
    <row r="171" spans="2:11" ht="14.25" customHeight="1" x14ac:dyDescent="0.35">
      <c r="B171" s="35">
        <v>840.08</v>
      </c>
      <c r="C171" s="35">
        <v>19.21</v>
      </c>
      <c r="D171" s="35">
        <v>29.77</v>
      </c>
      <c r="E171" s="35">
        <f t="shared" si="19"/>
        <v>30.544000700000005</v>
      </c>
      <c r="G171" s="18">
        <f t="shared" si="20"/>
        <v>0.77400070000000554</v>
      </c>
      <c r="H171" s="18">
        <f t="shared" si="21"/>
        <v>0.59907708360049861</v>
      </c>
      <c r="J171" s="18">
        <f t="shared" si="22"/>
        <v>6.107800000000001</v>
      </c>
      <c r="K171" s="18">
        <f t="shared" si="23"/>
        <v>37.305220840000011</v>
      </c>
    </row>
    <row r="172" spans="2:11" ht="14.25" customHeight="1" x14ac:dyDescent="0.35">
      <c r="B172" s="35">
        <v>595.80999999999995</v>
      </c>
      <c r="C172" s="35">
        <v>24.13</v>
      </c>
      <c r="D172" s="35">
        <v>16.329999999999998</v>
      </c>
      <c r="E172" s="35">
        <f t="shared" si="19"/>
        <v>14.3591257</v>
      </c>
      <c r="G172" s="18">
        <f t="shared" si="20"/>
        <v>-1.9708742999999984</v>
      </c>
      <c r="H172" s="18">
        <f t="shared" si="21"/>
        <v>3.8843455064004839</v>
      </c>
      <c r="J172" s="18">
        <f t="shared" si="22"/>
        <v>-7.3322000000000003</v>
      </c>
      <c r="K172" s="18">
        <f t="shared" si="23"/>
        <v>53.761156840000005</v>
      </c>
    </row>
    <row r="173" spans="2:11" ht="14.25" customHeight="1" x14ac:dyDescent="0.35">
      <c r="B173" s="35">
        <v>740.48</v>
      </c>
      <c r="C173" s="35">
        <v>25.11</v>
      </c>
      <c r="D173" s="35">
        <v>19.64</v>
      </c>
      <c r="E173" s="35">
        <f t="shared" si="19"/>
        <v>19.251109700000004</v>
      </c>
      <c r="G173" s="18">
        <f t="shared" si="20"/>
        <v>-0.38889029999999636</v>
      </c>
      <c r="H173" s="18">
        <f t="shared" si="21"/>
        <v>0.15123566543408717</v>
      </c>
      <c r="J173" s="18">
        <f t="shared" si="22"/>
        <v>-4.022199999999998</v>
      </c>
      <c r="K173" s="18">
        <f t="shared" si="23"/>
        <v>16.178092839999984</v>
      </c>
    </row>
    <row r="174" spans="2:11" ht="14.25" customHeight="1" x14ac:dyDescent="0.35">
      <c r="B174" s="35">
        <v>727.1</v>
      </c>
      <c r="C174" s="35">
        <v>21.08</v>
      </c>
      <c r="D174" s="35">
        <v>24.38</v>
      </c>
      <c r="E174" s="35">
        <f t="shared" si="19"/>
        <v>23.547058400000008</v>
      </c>
      <c r="G174" s="18">
        <f t="shared" si="20"/>
        <v>-0.83294159999999096</v>
      </c>
      <c r="H174" s="18">
        <f t="shared" si="21"/>
        <v>0.69379170901054499</v>
      </c>
      <c r="J174" s="18">
        <f t="shared" si="22"/>
        <v>0.71780000000000044</v>
      </c>
      <c r="K174" s="18">
        <f t="shared" si="23"/>
        <v>0.51523684000000058</v>
      </c>
    </row>
    <row r="175" spans="2:11" ht="14.25" customHeight="1" x14ac:dyDescent="0.35">
      <c r="B175" s="35">
        <v>710.29</v>
      </c>
      <c r="C175" s="35">
        <v>26.86</v>
      </c>
      <c r="D175" s="35">
        <v>17.940000000000001</v>
      </c>
      <c r="E175" s="35">
        <f t="shared" si="19"/>
        <v>15.874336</v>
      </c>
      <c r="G175" s="18">
        <f t="shared" si="20"/>
        <v>-2.0656640000000017</v>
      </c>
      <c r="H175" s="18">
        <f t="shared" si="21"/>
        <v>4.2669677608960068</v>
      </c>
      <c r="J175" s="18">
        <f t="shared" si="22"/>
        <v>-5.7221999999999973</v>
      </c>
      <c r="K175" s="18">
        <f t="shared" si="23"/>
        <v>32.74357283999997</v>
      </c>
    </row>
    <row r="176" spans="2:11" ht="14.25" customHeight="1" x14ac:dyDescent="0.35">
      <c r="B176" s="35">
        <v>615.85</v>
      </c>
      <c r="C176" s="35">
        <v>27.09</v>
      </c>
      <c r="D176" s="35">
        <v>13.84</v>
      </c>
      <c r="E176" s="35">
        <f t="shared" si="19"/>
        <v>11.6325097</v>
      </c>
      <c r="G176" s="18">
        <f t="shared" si="20"/>
        <v>-2.2074902999999999</v>
      </c>
      <c r="H176" s="18">
        <f t="shared" si="21"/>
        <v>4.8730134245940899</v>
      </c>
      <c r="J176" s="18">
        <f t="shared" si="22"/>
        <v>-9.8221999999999987</v>
      </c>
      <c r="K176" s="18">
        <f t="shared" si="23"/>
        <v>96.475612839999968</v>
      </c>
    </row>
    <row r="177" spans="2:11" ht="14.25" customHeight="1" x14ac:dyDescent="0.35">
      <c r="B177" s="35">
        <v>790.43</v>
      </c>
      <c r="C177" s="35">
        <v>23.39</v>
      </c>
      <c r="D177" s="35">
        <v>23.03</v>
      </c>
      <c r="E177" s="35">
        <f t="shared" si="19"/>
        <v>23.421247099999999</v>
      </c>
      <c r="G177" s="18">
        <f t="shared" si="20"/>
        <v>0.39124709999999752</v>
      </c>
      <c r="H177" s="18">
        <f t="shared" si="21"/>
        <v>0.15307429325840805</v>
      </c>
      <c r="J177" s="18">
        <f t="shared" si="22"/>
        <v>-0.63219999999999743</v>
      </c>
      <c r="K177" s="18">
        <f t="shared" si="23"/>
        <v>0.39967683999999676</v>
      </c>
    </row>
    <row r="178" spans="2:11" ht="14.25" customHeight="1" x14ac:dyDescent="0.35">
      <c r="B178" s="35">
        <v>813.68</v>
      </c>
      <c r="C178" s="35">
        <v>30.53</v>
      </c>
      <c r="D178" s="35">
        <v>15.12</v>
      </c>
      <c r="E178" s="35">
        <f t="shared" si="19"/>
        <v>15.790940300000003</v>
      </c>
      <c r="G178" s="18">
        <f t="shared" si="20"/>
        <v>0.67094030000000338</v>
      </c>
      <c r="H178" s="18">
        <f t="shared" si="21"/>
        <v>0.45016088616409455</v>
      </c>
      <c r="J178" s="18">
        <f t="shared" si="22"/>
        <v>-8.5421999999999993</v>
      </c>
      <c r="K178" s="18">
        <f t="shared" si="23"/>
        <v>72.969180839999993</v>
      </c>
    </row>
    <row r="179" spans="2:11" ht="14.25" customHeight="1" x14ac:dyDescent="0.35">
      <c r="B179" s="35">
        <v>1042.43</v>
      </c>
      <c r="C179" s="35">
        <v>20.72</v>
      </c>
      <c r="D179" s="35">
        <v>37.26</v>
      </c>
      <c r="E179" s="35">
        <f t="shared" si="19"/>
        <v>37.218545000000006</v>
      </c>
      <c r="G179" s="18">
        <f t="shared" si="20"/>
        <v>-4.1454999999992026E-2</v>
      </c>
      <c r="H179" s="18">
        <f t="shared" si="21"/>
        <v>1.7185170249993389E-3</v>
      </c>
      <c r="J179" s="18">
        <f t="shared" si="22"/>
        <v>13.597799999999999</v>
      </c>
      <c r="K179" s="18">
        <f t="shared" si="23"/>
        <v>184.90016483999997</v>
      </c>
    </row>
    <row r="180" spans="2:11" ht="14.25" customHeight="1" x14ac:dyDescent="0.35">
      <c r="B180" s="35">
        <v>1057.47</v>
      </c>
      <c r="C180" s="35">
        <v>21.27</v>
      </c>
      <c r="D180" s="35">
        <v>36.57</v>
      </c>
      <c r="E180" s="35">
        <f t="shared" si="19"/>
        <v>37.186970700000003</v>
      </c>
      <c r="G180" s="18">
        <f t="shared" si="20"/>
        <v>0.61697070000000309</v>
      </c>
      <c r="H180" s="18">
        <f t="shared" si="21"/>
        <v>0.38065284465849381</v>
      </c>
      <c r="J180" s="18">
        <f t="shared" si="22"/>
        <v>12.907800000000002</v>
      </c>
      <c r="K180" s="18">
        <f t="shared" si="23"/>
        <v>166.61130084000004</v>
      </c>
    </row>
    <row r="181" spans="2:11" ht="14.25" customHeight="1" x14ac:dyDescent="0.35">
      <c r="B181" s="35">
        <v>865.67</v>
      </c>
      <c r="C181" s="35">
        <v>24.03</v>
      </c>
      <c r="D181" s="35">
        <v>22.95</v>
      </c>
      <c r="E181" s="35">
        <f t="shared" si="19"/>
        <v>25.808385499999996</v>
      </c>
      <c r="G181" s="18">
        <f t="shared" si="20"/>
        <v>2.8583854999999971</v>
      </c>
      <c r="H181" s="18">
        <f t="shared" si="21"/>
        <v>8.1703676666102343</v>
      </c>
      <c r="J181" s="18">
        <f t="shared" si="22"/>
        <v>-0.71219999999999928</v>
      </c>
      <c r="K181" s="18">
        <f t="shared" si="23"/>
        <v>0.50722883999999901</v>
      </c>
    </row>
    <row r="182" spans="2:11" ht="14.25" customHeight="1" x14ac:dyDescent="0.35">
      <c r="B182" s="35">
        <v>822.44</v>
      </c>
      <c r="C182" s="35">
        <v>24.43</v>
      </c>
      <c r="D182" s="35">
        <v>25.49</v>
      </c>
      <c r="E182" s="35">
        <f t="shared" si="19"/>
        <v>23.511442100000007</v>
      </c>
      <c r="G182" s="18">
        <f t="shared" si="20"/>
        <v>-1.9785578999999913</v>
      </c>
      <c r="H182" s="18">
        <f t="shared" si="21"/>
        <v>3.9146913636523757</v>
      </c>
      <c r="J182" s="18">
        <f t="shared" si="22"/>
        <v>1.8277999999999999</v>
      </c>
      <c r="K182" s="18">
        <f t="shared" si="23"/>
        <v>3.3408528399999997</v>
      </c>
    </row>
    <row r="183" spans="2:11" ht="14.25" customHeight="1" x14ac:dyDescent="0.35">
      <c r="B183" s="35">
        <v>1044.75</v>
      </c>
      <c r="C183" s="35">
        <v>21.51</v>
      </c>
      <c r="D183" s="35">
        <v>36.01</v>
      </c>
      <c r="E183" s="35">
        <f t="shared" si="19"/>
        <v>36.363696300000001</v>
      </c>
      <c r="G183" s="18">
        <f t="shared" si="20"/>
        <v>0.35369630000000285</v>
      </c>
      <c r="H183" s="18">
        <f t="shared" si="21"/>
        <v>0.12510107263369202</v>
      </c>
      <c r="J183" s="18">
        <f t="shared" si="22"/>
        <v>12.347799999999999</v>
      </c>
      <c r="K183" s="18">
        <f t="shared" si="23"/>
        <v>152.46816483999999</v>
      </c>
    </row>
    <row r="184" spans="2:11" ht="14.25" customHeight="1" x14ac:dyDescent="0.35">
      <c r="B184" s="35">
        <v>1121.0999999999999</v>
      </c>
      <c r="C184" s="35">
        <v>33.619999999999997</v>
      </c>
      <c r="D184" s="35">
        <v>25.61</v>
      </c>
      <c r="E184" s="35">
        <f t="shared" si="19"/>
        <v>24.971838599999991</v>
      </c>
      <c r="G184" s="18">
        <f t="shared" si="20"/>
        <v>-0.63816140000000843</v>
      </c>
      <c r="H184" s="18">
        <f t="shared" si="21"/>
        <v>0.40724997244997074</v>
      </c>
      <c r="J184" s="18">
        <f t="shared" si="22"/>
        <v>1.9478000000000009</v>
      </c>
      <c r="K184" s="18">
        <f t="shared" si="23"/>
        <v>3.7939248400000034</v>
      </c>
    </row>
    <row r="185" spans="2:11" ht="14.25" customHeight="1" x14ac:dyDescent="0.35">
      <c r="B185" s="35">
        <v>972.44</v>
      </c>
      <c r="C185" s="35">
        <v>32.08</v>
      </c>
      <c r="D185" s="35">
        <v>18.649999999999999</v>
      </c>
      <c r="E185" s="35">
        <f t="shared" si="19"/>
        <v>20.587361600000001</v>
      </c>
      <c r="G185" s="18">
        <f t="shared" si="20"/>
        <v>1.9373616000000027</v>
      </c>
      <c r="H185" s="18">
        <f t="shared" si="21"/>
        <v>3.7533699691545706</v>
      </c>
      <c r="J185" s="18">
        <f t="shared" si="22"/>
        <v>-5.0122</v>
      </c>
      <c r="K185" s="18">
        <f t="shared" si="23"/>
        <v>25.122148840000001</v>
      </c>
    </row>
    <row r="186" spans="2:11" ht="14.25" customHeight="1" x14ac:dyDescent="0.35">
      <c r="B186" s="35">
        <v>1060.3399999999999</v>
      </c>
      <c r="C186" s="35">
        <v>19.82</v>
      </c>
      <c r="D186" s="35">
        <v>40.57</v>
      </c>
      <c r="E186" s="35">
        <f t="shared" si="19"/>
        <v>39.055239799999995</v>
      </c>
      <c r="G186" s="18">
        <f t="shared" si="20"/>
        <v>-1.5147602000000049</v>
      </c>
      <c r="H186" s="18">
        <f t="shared" si="21"/>
        <v>2.2944984635040546</v>
      </c>
      <c r="J186" s="18">
        <f t="shared" si="22"/>
        <v>16.907800000000002</v>
      </c>
      <c r="K186" s="18">
        <f t="shared" si="23"/>
        <v>285.87370084000008</v>
      </c>
    </row>
    <row r="187" spans="2:11" ht="14.25" customHeight="1" x14ac:dyDescent="0.35">
      <c r="B187" s="35">
        <v>1157.3800000000001</v>
      </c>
      <c r="C187" s="35">
        <v>24.28</v>
      </c>
      <c r="D187" s="35">
        <v>36.28</v>
      </c>
      <c r="E187" s="35">
        <f t="shared" si="19"/>
        <v>37.75302880000001</v>
      </c>
      <c r="G187" s="18">
        <f t="shared" si="20"/>
        <v>1.4730288000000087</v>
      </c>
      <c r="H187" s="18">
        <f t="shared" si="21"/>
        <v>2.1698138456294656</v>
      </c>
      <c r="J187" s="18">
        <f t="shared" si="22"/>
        <v>12.617800000000003</v>
      </c>
      <c r="K187" s="18">
        <f t="shared" si="23"/>
        <v>159.20887684000007</v>
      </c>
    </row>
    <row r="188" spans="2:11" ht="14.25" customHeight="1" x14ac:dyDescent="0.35">
      <c r="B188" s="35">
        <v>528.46</v>
      </c>
      <c r="C188" s="35">
        <v>21.96</v>
      </c>
      <c r="D188" s="35">
        <v>14.63</v>
      </c>
      <c r="E188" s="35">
        <f t="shared" si="19"/>
        <v>14.147425600000002</v>
      </c>
      <c r="G188" s="18">
        <f t="shared" si="20"/>
        <v>-0.48257439999999896</v>
      </c>
      <c r="H188" s="18">
        <f t="shared" si="21"/>
        <v>0.23287805153535901</v>
      </c>
      <c r="J188" s="18">
        <f t="shared" si="22"/>
        <v>-9.0321999999999978</v>
      </c>
      <c r="K188" s="18">
        <f t="shared" si="23"/>
        <v>81.580636839999954</v>
      </c>
    </row>
    <row r="189" spans="2:11" ht="14.25" customHeight="1" x14ac:dyDescent="0.35">
      <c r="B189" s="35">
        <v>1112.97</v>
      </c>
      <c r="C189" s="35">
        <v>25.67</v>
      </c>
      <c r="D189" s="35">
        <v>31.61</v>
      </c>
      <c r="E189" s="35">
        <f t="shared" si="19"/>
        <v>34.213232700000006</v>
      </c>
      <c r="G189" s="18">
        <f t="shared" si="20"/>
        <v>2.6032327000000066</v>
      </c>
      <c r="H189" s="18">
        <f t="shared" si="21"/>
        <v>6.7768204903493245</v>
      </c>
      <c r="J189" s="18">
        <f t="shared" si="22"/>
        <v>7.9478000000000009</v>
      </c>
      <c r="K189" s="18">
        <f t="shared" si="23"/>
        <v>63.167524840000013</v>
      </c>
    </row>
    <row r="190" spans="2:11" ht="14.25" customHeight="1" x14ac:dyDescent="0.35">
      <c r="B190" s="35">
        <v>693.59</v>
      </c>
      <c r="C190" s="35">
        <v>22.7</v>
      </c>
      <c r="D190" s="35">
        <v>20.260000000000002</v>
      </c>
      <c r="E190" s="35">
        <f t="shared" si="19"/>
        <v>20.187609200000004</v>
      </c>
      <c r="G190" s="18">
        <f t="shared" si="20"/>
        <v>-7.2390799999997313E-2</v>
      </c>
      <c r="H190" s="18">
        <f t="shared" si="21"/>
        <v>5.2404279246396112E-3</v>
      </c>
      <c r="J190" s="18">
        <f t="shared" si="22"/>
        <v>-3.402199999999997</v>
      </c>
      <c r="K190" s="18">
        <f t="shared" si="23"/>
        <v>11.57496483999998</v>
      </c>
    </row>
    <row r="191" spans="2:11" ht="14.25" customHeight="1" x14ac:dyDescent="0.35">
      <c r="B191" s="35">
        <v>833.04</v>
      </c>
      <c r="C191" s="35">
        <v>26.53</v>
      </c>
      <c r="D191" s="35">
        <v>21.14</v>
      </c>
      <c r="E191" s="35">
        <f t="shared" si="19"/>
        <v>21.425153099999999</v>
      </c>
      <c r="G191" s="18">
        <f t="shared" si="20"/>
        <v>0.28515309999999872</v>
      </c>
      <c r="H191" s="18">
        <f t="shared" si="21"/>
        <v>8.1312290439609261E-2</v>
      </c>
      <c r="J191" s="18">
        <f t="shared" si="22"/>
        <v>-2.522199999999998</v>
      </c>
      <c r="K191" s="18">
        <f t="shared" si="23"/>
        <v>6.3614928399999897</v>
      </c>
    </row>
    <row r="192" spans="2:11" ht="14.25" customHeight="1" x14ac:dyDescent="0.35">
      <c r="B192" s="35">
        <v>1057.73</v>
      </c>
      <c r="C192" s="35">
        <v>33.68</v>
      </c>
      <c r="D192" s="35">
        <v>21.61</v>
      </c>
      <c r="E192" s="35">
        <f t="shared" si="19"/>
        <v>22.239243800000004</v>
      </c>
      <c r="G192" s="18">
        <f t="shared" si="20"/>
        <v>0.62924380000000468</v>
      </c>
      <c r="H192" s="18">
        <f t="shared" si="21"/>
        <v>0.39594775983844588</v>
      </c>
      <c r="J192" s="18">
        <f t="shared" si="22"/>
        <v>-2.0521999999999991</v>
      </c>
      <c r="K192" s="18">
        <f t="shared" si="23"/>
        <v>4.2115248399999965</v>
      </c>
    </row>
    <row r="193" spans="2:11" ht="14.25" customHeight="1" x14ac:dyDescent="0.35">
      <c r="B193" s="35">
        <v>1002.07</v>
      </c>
      <c r="C193" s="35">
        <v>24.5</v>
      </c>
      <c r="D193" s="35">
        <v>31.34</v>
      </c>
      <c r="E193" s="35">
        <f t="shared" si="19"/>
        <v>30.967933600000009</v>
      </c>
      <c r="G193" s="18">
        <f t="shared" si="20"/>
        <v>-0.37206639999999069</v>
      </c>
      <c r="H193" s="18">
        <f t="shared" si="21"/>
        <v>0.13843340600895307</v>
      </c>
      <c r="J193" s="18">
        <f t="shared" si="22"/>
        <v>7.6778000000000013</v>
      </c>
      <c r="K193" s="18">
        <f t="shared" si="23"/>
        <v>58.948612840000017</v>
      </c>
    </row>
    <row r="194" spans="2:11" ht="14.25" customHeight="1" x14ac:dyDescent="0.35">
      <c r="B194" s="35">
        <v>603</v>
      </c>
      <c r="C194" s="35">
        <v>29.05</v>
      </c>
      <c r="D194" s="35">
        <v>9.35</v>
      </c>
      <c r="E194" s="35">
        <f t="shared" si="19"/>
        <v>8.7305415000000011</v>
      </c>
      <c r="G194" s="18">
        <f t="shared" si="20"/>
        <v>-0.61945849999999858</v>
      </c>
      <c r="H194" s="18">
        <f t="shared" si="21"/>
        <v>0.38372883322224827</v>
      </c>
      <c r="J194" s="18">
        <f t="shared" si="22"/>
        <v>-14.312199999999999</v>
      </c>
      <c r="K194" s="18">
        <f t="shared" si="23"/>
        <v>204.83906883999998</v>
      </c>
    </row>
    <row r="195" spans="2:11" ht="14.25" customHeight="1" x14ac:dyDescent="0.35">
      <c r="B195" s="35">
        <v>961.12</v>
      </c>
      <c r="C195" s="35">
        <v>28.13</v>
      </c>
      <c r="D195" s="35">
        <v>26.16</v>
      </c>
      <c r="E195" s="35">
        <f t="shared" si="19"/>
        <v>24.873359500000007</v>
      </c>
      <c r="G195" s="18">
        <f t="shared" si="20"/>
        <v>-1.2866404999999936</v>
      </c>
      <c r="H195" s="18">
        <f t="shared" si="21"/>
        <v>1.6554437762402336</v>
      </c>
      <c r="J195" s="18">
        <f t="shared" si="22"/>
        <v>2.4978000000000016</v>
      </c>
      <c r="K195" s="18">
        <f t="shared" si="23"/>
        <v>6.2390048400000078</v>
      </c>
    </row>
    <row r="196" spans="2:11" ht="14.25" customHeight="1" x14ac:dyDescent="0.35"/>
    <row r="197" spans="2:11" ht="14.25" customHeight="1" x14ac:dyDescent="0.35"/>
    <row r="198" spans="2:11" ht="14.25" customHeight="1" x14ac:dyDescent="0.35"/>
    <row r="199" spans="2:11" ht="14.25" customHeight="1" x14ac:dyDescent="0.35"/>
    <row r="200" spans="2:11" ht="14.25" customHeight="1" x14ac:dyDescent="0.35"/>
    <row r="201" spans="2:11" ht="14.25" customHeight="1" x14ac:dyDescent="0.35"/>
    <row r="202" spans="2:11" ht="14.25" customHeight="1" x14ac:dyDescent="0.35"/>
    <row r="203" spans="2:11" ht="14.25" customHeight="1" x14ac:dyDescent="0.35"/>
    <row r="204" spans="2:11" ht="14.25" customHeight="1" x14ac:dyDescent="0.35"/>
    <row r="205" spans="2:11" ht="14.25" customHeight="1" x14ac:dyDescent="0.35"/>
    <row r="206" spans="2:11" ht="14.25" customHeight="1" x14ac:dyDescent="0.35"/>
    <row r="207" spans="2:11" ht="14.25" customHeight="1" x14ac:dyDescent="0.35"/>
    <row r="208" spans="2:11"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A17:E24"/>
    <mergeCell ref="F6:F8"/>
    <mergeCell ref="I6:I8"/>
    <mergeCell ref="L6:L8"/>
    <mergeCell ref="M6:M8"/>
    <mergeCell ref="N6:N8"/>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Sheet2</vt:lpstr>
      <vt:lpstr>MAE</vt:lpstr>
      <vt:lpstr>MSE</vt:lpstr>
      <vt:lpstr>RMSE</vt:lpstr>
      <vt:lpstr>Rsquared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PRABHURAJ METIPATIL</dc:creator>
  <cp:lastModifiedBy>VARUN B J</cp:lastModifiedBy>
  <dcterms:created xsi:type="dcterms:W3CDTF">2026-03-04T04:35:14Z</dcterms:created>
  <dcterms:modified xsi:type="dcterms:W3CDTF">2026-03-10T05:34:55Z</dcterms:modified>
</cp:coreProperties>
</file>